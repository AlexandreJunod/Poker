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calcPr calcId="162913"/>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 r="B4" i="1"/>
  <c r="B5" i="1"/>
  <c r="B7" i="1"/>
  <c r="B6" i="1"/>
  <c r="B8" i="1"/>
  <c r="B9" i="1"/>
  <c r="B10" i="1" l="1"/>
  <c r="B11" i="1"/>
  <c r="B12" i="1" l="1"/>
  <c r="B13" i="1" l="1"/>
  <c r="B14" i="1"/>
  <c r="B15" i="1"/>
  <c r="B16" i="1"/>
  <c r="B17" i="1"/>
  <c r="B18" i="1"/>
  <c r="B19" i="1"/>
  <c r="B20" i="1"/>
  <c r="B21" i="1"/>
  <c r="B22" i="1"/>
  <c r="B23" i="1"/>
  <c r="B24" i="1"/>
  <c r="B25" i="1"/>
  <c r="B26" i="1"/>
  <c r="B27" i="1"/>
  <c r="B28" i="1"/>
  <c r="B29" i="1" l="1"/>
  <c r="B30" i="1"/>
  <c r="B31" i="1" l="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l="1"/>
  <c r="B78" i="1"/>
  <c r="B79" i="1"/>
  <c r="B80" i="1"/>
  <c r="B81" i="1"/>
  <c r="B82" i="1"/>
  <c r="B83" i="1"/>
</calcChain>
</file>

<file path=xl/sharedStrings.xml><?xml version="1.0" encoding="utf-8"?>
<sst xmlns="http://schemas.openxmlformats.org/spreadsheetml/2006/main" count="212" uniqueCount="124">
  <si>
    <t>Description</t>
  </si>
  <si>
    <t>Remarques/problèmes</t>
  </si>
  <si>
    <t>Jour</t>
  </si>
  <si>
    <t>Temps [h]</t>
  </si>
  <si>
    <t>Type</t>
  </si>
  <si>
    <t>Types de tâches</t>
  </si>
  <si>
    <t>Analyse</t>
  </si>
  <si>
    <t>Implémentation</t>
  </si>
  <si>
    <t>Tests</t>
  </si>
  <si>
    <t>Documentation</t>
  </si>
  <si>
    <t>Absence</t>
  </si>
  <si>
    <t>Total général</t>
  </si>
  <si>
    <t>Semaine</t>
  </si>
  <si>
    <t>Somme de Temps [h]</t>
  </si>
  <si>
    <t>Discuter des projet pré-TPI et attribution des cahiers des charges</t>
  </si>
  <si>
    <t>Installation des différents logiciels nécessaires pour mon pré-TPI</t>
  </si>
  <si>
    <t>Recherches de logiciels utiles pour du developpement web et installation</t>
  </si>
  <si>
    <t>Planification (Gantt)</t>
  </si>
  <si>
    <t>Il ne sera jamais utilisé, car une méthode agile à été imposée par la suite</t>
  </si>
  <si>
    <t>Chercher de jeux de cartes, afin de savoir comment faire la maquette plus tard</t>
  </si>
  <si>
    <t>Recherche de languages alternatifs a JS/Flash</t>
  </si>
  <si>
    <t>Rechercher sur Youtube ce qu'on peut faire sur du CSS3/SVG/HTML en rapport avec le poker</t>
  </si>
  <si>
    <t>J'évite ces languages car ils vont disparaître par le futur, je vais donc utiliser un maximum de CSS3 et SVG</t>
  </si>
  <si>
    <t xml:space="preserve">Rechercher et tester des logiciels pour faire du CSS3 en direct sur navigateur, j'ai trouvé "Codepen" et "Kodhus", après un test j'ai préférer codepen car il est personnalisable </t>
  </si>
  <si>
    <t>Je fait mes tests lors du pré-TPI afin de gagner du temps au TPI, je n'aurais peut-être jamais le temps de faire des animations pour le poker</t>
  </si>
  <si>
    <t>Revoir le cahier des charges et m'informer sur le déroulement d'une partie, comprendre les big blind et les small blind</t>
  </si>
  <si>
    <t>J'ai eu plusieurs explications différentes qui voulaient dire la même chose, mais qui m'ont enduites en erreures parce qu'elles utilisaient un therme différent</t>
  </si>
  <si>
    <t>Temps de travail</t>
  </si>
  <si>
    <t>Lundi</t>
  </si>
  <si>
    <t>Mardi</t>
  </si>
  <si>
    <t>Mercredi</t>
  </si>
  <si>
    <t>Jeudi</t>
  </si>
  <si>
    <t>Vendredi</t>
  </si>
  <si>
    <t>Faire les premier uses cases et scénarios</t>
  </si>
  <si>
    <t>Création/installation du Trello et GitHub et recherches d'informations sur ces logiciels</t>
  </si>
  <si>
    <t>Adapter le Trello comme demandé par le chef de projet</t>
  </si>
  <si>
    <t xml:space="preserve">Retoucher mes uses cases car ils ne correspondaient plus a la vision que j'avais du Texas Hold'em </t>
  </si>
  <si>
    <t>Mettre en place le GitHub</t>
  </si>
  <si>
    <t>Regarder avec mon chef de projet le fonctionnement de Gitub</t>
  </si>
  <si>
    <t>Envoyer le github et le Trello au chef de projet, et implémenter les sprint suite a son retour</t>
  </si>
  <si>
    <t>Tester en CSS3 des effets de distribution de carte et selection de carte animés, en regardant un tutoriel sur Youtube</t>
  </si>
  <si>
    <t>Tester des alternatives à GitHub. J'ai une préférence pour GitHub, du moins en projet tout seul</t>
  </si>
  <si>
    <t>Problème avec Word, mes tableaux s'empillent, j'ai donc refait les tableaux et recopié les uses cases, j'ai également modifier ceux que je n'avais pas terminé hier</t>
  </si>
  <si>
    <t>Rechercher une vidéo expliquative afin de faire un UML, c'est en regardant cette vidéo que j'ai compris que mes uses cases étaient faux</t>
  </si>
  <si>
    <t>Refaire les uses cases selon la vidéo trouvée sur internet</t>
  </si>
  <si>
    <t>Réfléchir et rechercher des informations a propos du jeux en temps réel sur une page web</t>
  </si>
  <si>
    <t>Je ne sais pas encore comment faire pour gérer plusieurs personnes, faire en sorte qu'ils prennent une place au tour d'une table et puisse avoir une vue en rapport de celui qui joue</t>
  </si>
  <si>
    <t>Suite des recherches de jeudi</t>
  </si>
  <si>
    <t>Corriger et discuter des mes uses cases avec le chef de projet</t>
  </si>
  <si>
    <t>Création du journal de bord</t>
  </si>
  <si>
    <t>Commencer a changer les uses cases selon ce qui à été discuté avec le chef de projet</t>
  </si>
  <si>
    <t>Remplir le journal de bord du 01.02.2018 au 13.02.2018</t>
  </si>
  <si>
    <t>Créer les différentes divs nécessaires et le css dans (style.css) afin d'avoir la mise en forme de la page de connexion (index.php) et d'inscription (NewAccount.php)</t>
  </si>
  <si>
    <t>Difficulté a centrer des élèments qui se trouvent déjà dans des divs, plusieurs façons de faire ne fonctionnaient pas. J'ai du le faire a l'aide de margin et de padding, ce qui influence les divs qui se trouve dans ces divs, j'ai donc après du changé des valeurs jusqu'à avoir le résultat attendu</t>
  </si>
  <si>
    <t>Créer les phrases qui reprennent le déroulement d'une partie, du début à la fin</t>
  </si>
  <si>
    <t>Voir avec le chef de projet les uses cases et parler de l'analyse des différents etats dans les quels se trouvent les joueurs</t>
  </si>
  <si>
    <t>Il a été décider de prendre la vidéo trouvée sur youtube au lieu de refaire les uses cases pour les différentes mains et actions possibles</t>
  </si>
  <si>
    <t xml:space="preserve">Changer quelques details dans les uses cases et faire les maquêtes </t>
  </si>
  <si>
    <t>Corriger les uses cases avec le chef de projet, regarder avec le chef de projet l'UML qu'il ma fournit afin de voir les différents états d'une main</t>
  </si>
  <si>
    <t>Refaire les phrases qui décrivent une partie, car ce que j'ai fait ne reprennait pas tous les cas</t>
  </si>
  <si>
    <t>Recherches sur internet des informations sur l'ajax afin de savoir si je peux optimiser facilement un code fini, ou s'il vaut mieux directement faire de l'ajax</t>
  </si>
  <si>
    <t>Test d'ajax</t>
  </si>
  <si>
    <t>J'ai rapidement abandonné, car je n'avais pas le résultat voulu et je ne voulais pas perdre trop de temps</t>
  </si>
  <si>
    <t>Modifier les noms des plans et quelques details dans les uses cases</t>
  </si>
  <si>
    <t>Aider un autre élève, sa page ne s'affichait plus, peut importe les modifications qui lui étaient apportées. C'était un problème de cache (et d'une condition)</t>
  </si>
  <si>
    <t>Recherches sur la manière de se connecter à plusieurs sur une seule page, afin que chaque personne puisse voir ce qu'une autre personne fait. Tester sur des éditeurs tels de codepen et kodhus)</t>
  </si>
  <si>
    <t>Lecture des retours fait par mail, du chef de projet. Relire d'anciens mails afin de voir ce qui avait été oublié et ce qu'il me restait a faire</t>
  </si>
  <si>
    <t>Revoir les docs du ICT-431, il revient plusieurs fois dans les mails envoyés</t>
  </si>
  <si>
    <t>Modifier le trello et penser aux sprints qui seront possibles</t>
  </si>
  <si>
    <t>Voir avec le chef de projet les retours, ce qui doit être fait, ce qui reste a faire et discuter de la meilleure manière de réaliser mon code par le futur</t>
  </si>
  <si>
    <t>Rajouter quelques plans dans les maquettes et changer quelques details dans les uses cases</t>
  </si>
  <si>
    <t>Aider un autre élève, son get fonctionnait que dans 1 des 2 cas, pourtant le code était le même</t>
  </si>
  <si>
    <t>Création de la documentation finale "Poker online.docx"</t>
  </si>
  <si>
    <t>Remplir une petite partie du journal de bord</t>
  </si>
  <si>
    <t>Terminer de remplir le journal de bord</t>
  </si>
  <si>
    <t>Création du système de connexion et base de donnée</t>
  </si>
  <si>
    <t>Documenter mon fichier "Poker online.docx"</t>
  </si>
  <si>
    <t>Terminer la documentation du fichier "Poker online.docx"</t>
  </si>
  <si>
    <t>Ajout du "démo" sur trello</t>
  </si>
  <si>
    <t>Changement de journal de bord, j'ai repris celui donner par le chef de projet</t>
  </si>
  <si>
    <t>Modification du code afin de créer les boutons</t>
  </si>
  <si>
    <t>Les divs ne fonctionnent pas à l'intérieur d'un form, du moins la mise en page et les différents changements ne se font pas</t>
  </si>
  <si>
    <t>Changer les propriétés de mes différentes divs n'a rien changer</t>
  </si>
  <si>
    <t>Sur google chrome je ne voyais pas de différence, tandis que sur firefox tout fonctionnait, peut importe la propriété changée. Relatif au problème signalé au dessous</t>
  </si>
  <si>
    <t>J'ai commencer par cliquer plusieurs fois sur le "+" puis j'ai rentré plusieurs colonnes, au moment d'en rajouter, j'ai compris que la ligne 2 était dupliquée puis que les colonnes était poussées vers le bas, j'ai donc tout refait au propre afin d'avoir un suivi jour par jour</t>
  </si>
  <si>
    <t>Modifications dans mes divs afin de garder une mise en page ressemblante a la maquette</t>
  </si>
  <si>
    <t>Problème avec la mise en page de la page inscription, en changeant la largeur de la div principale, tout le reste a changer et je n'étais plus capable de refaire une mise en page propre</t>
  </si>
  <si>
    <t>Création des pages  fonctions, inscription, table et accueil, mise en place de certaines divs</t>
  </si>
  <si>
    <t>Création de la première base de donnée, et connexion a la base de donnée via le PHP</t>
  </si>
  <si>
    <t>Créer la première version du script qui permet de recréer la base de donnée</t>
  </si>
  <si>
    <t>Les contraintes m'empêchaient de créer certaines tables dans un certain ordre</t>
  </si>
  <si>
    <t>Je n'arrivais pas a "Synchronize model" sur MySql, suite a la création du nouveau MLD</t>
  </si>
  <si>
    <t>MySql, ne prenait pas en compte les modifactions aportée, il me générait aucun code et n'a rien changer dans ma base de donnée. En relançant MySql après la suppresion de la base de donnée "mydb", j'ai refais le MLD et ça a fonctionner</t>
  </si>
  <si>
    <t>Gérer les connexions et inscription, et définir quel joueur se trouvait dans quelle page et a quel moment et gérer les critères afin de créer un bon mot de passe</t>
  </si>
  <si>
    <t>Sécurité des mot de passe pas encore géré correctement</t>
  </si>
  <si>
    <t>Voir avec le chef de projet le sprint 1, faire le MCD avec le chef de projet et voir avec le chef de projet les "regex". Parler de l'évolution du projet, des futurs moyens employés et définir le sprint 2</t>
  </si>
  <si>
    <t>Rechercher un meilleur regex, celui trouver avec le chef de projet, crée une erreur. J'ai finalement opter pour retirer la contraire de la majuscule nécessaire</t>
  </si>
  <si>
    <t>Mot de passe : Majuscule n'est plus nécessaire</t>
  </si>
  <si>
    <t>Création du MLD suite au MLD fait avec le chef de projet, modification du script de création de base de donnée et changement de requêtes dans mon code PHP</t>
  </si>
  <si>
    <t>Création de plusieurs requêtes qui me seront très utiles tout au long du projet, afin de savoir comment je vais gérer une partie, les différentes pages, les places disponibles, les messages d'erreurs, etc..</t>
  </si>
  <si>
    <t>Modifcation du script de création de la base de donnée, afin de commencer avec une base de donnée qui n'est pas vide</t>
  </si>
  <si>
    <t>Modifier quelques details dans le MLD, j'ai eu de nouveau le problème qui m'empêche de synchronize model</t>
  </si>
  <si>
    <t>Cette fois-ci je n'ai pas pu résoudre le problème de la même manière que la dernière fois. Il fallait selectionner une autre base de donnée que celle utilisée (poker), j'ai donc pris une autre base de donnée, repris le script et j'ai adapter le code</t>
  </si>
  <si>
    <t>Création et modification de quelques requêtes SQL. Modification de quelques pages web, afin de gérer une table de poker, de savoir si une place est disponible ou non, gérer la page d'accueil et les messages d'erreurs</t>
  </si>
  <si>
    <t>Remplir le journal de travail pour toute la semaine, car je ne l'ai pas fait de la semaine</t>
  </si>
  <si>
    <t>Modification des pages php selon la nouvelle base de données. Ajout de commentaires</t>
  </si>
  <si>
    <t>Chercher un moyen de récupérer le document "poker online.docx" dans le même êtat qu'il l'était le 02.03.2018, afin d'envoyer la doc au chef de projet. Créer les documents demandés (Changements et Normale) et les envoyer au chef de projet</t>
  </si>
  <si>
    <t xml:space="preserve">Tester de créer plusieurs comptes depuis la page inscription, et essayer de faire rentrer 7 personnes dans une table. </t>
  </si>
  <si>
    <t>Le site réagis bien, mais une des $_SESSION que j'ai crée dans la page d'accueil afin d'afficher un message d'erreur n'est pas testable correctement, car tous les utilisateurs reprennent le dernier $_SESSION sauvegarder</t>
  </si>
  <si>
    <t>Ouvrir la connexion a wamp afin de permetre a d'autres personnes de se connecter au poker online</t>
  </si>
  <si>
    <t>J'ai suivi plusieurs procèdures trouvées sur internet, rien n'a fonctionner et parfois mon wamp ne fonctionnait plus. Avec la version de wamp que j'ai, il suffit de changer le "Require local" en "Require all granted" dans le "httpd-vhost.conf"</t>
  </si>
  <si>
    <t>Tester ce qui est fonctionnel, afin d'évaluer se qui me reste a faire pour la présentation du sprint 2, modifier les 2 choses afin d'éviter 2 erreurs. Ecrire sur un post-it "une histoire" afin de présenter le sprint 2 sans avoir a changer des paramètres en cours de route</t>
  </si>
  <si>
    <t>Création d'une image pour la table de poker</t>
  </si>
  <si>
    <t>Le plus dur était de faire étape par étape, savoir quels tours j'allait montré et comment séparer les différents cas, j'ai donc du regarder plusieurs fois la vidéo de suite afin d'être câpable de suivre</t>
  </si>
  <si>
    <t>Le plus dur était d'avoir la bonne mise en page. En ayant un format 1920x1080, l'image n'était pas centrée, j'ai donc rechanger la taille de l'image plusieurs fois.</t>
  </si>
  <si>
    <t>Ajouter des boutons déconnexion et quitter la table, gérer les requêtes en rapport avec ces boutons et modifier certains élèments de la base de donnée</t>
  </si>
  <si>
    <t>Tester avec plusieurs élèves de la classe la connexion a plusieurs joueurs, et retirer les différents bugs restants</t>
  </si>
  <si>
    <t xml:space="preserve">Pour la prochaine fois il est plus interessant d'utiliser le navigateur privé </t>
  </si>
  <si>
    <t>Créer les divs afin d'afficher les joueurs et créer le code qui permet de gérer les connexions des joueurs</t>
  </si>
  <si>
    <t>Les divs ont pris du temps à se mettre au bon endroit. Je ne savais plus comment utiliser un foreach afin de gérer toutes les valeurs qui sortent d'une requête. Le code au départ afichait plusieurs fois le joueur qui était sur la page "table.php" car un "extract" était utilisé au lieu d'un foreach</t>
  </si>
  <si>
    <t>Gérer le début d'une partie et afficher le message, afin de dire que la partie a commencer</t>
  </si>
  <si>
    <t>Préparer la démonstration du sprint 2, et tester avec le chef de projet vienne vers moi</t>
  </si>
  <si>
    <t>Présenter le sprint 2</t>
  </si>
  <si>
    <t>Remplir le journal de bord pour cette semaine en revoyant les commentaires que j'ai posté sur GitHub. Modifier le sprint 3 sur trello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</si>
</sst>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b/>
      <sz val="12"/>
      <color theme="0"/>
      <name val="Calibri"/>
      <family val="2"/>
      <scheme val="minor"/>
    </font>
  </fonts>
  <fills count="4">
    <fill>
      <patternFill patternType="none"/>
    </fill>
    <fill>
      <patternFill patternType="gray125"/>
    </fill>
    <fill>
      <patternFill patternType="solid">
        <fgColor theme="0" tint="-0.14999847407452621"/>
        <bgColor indexed="64"/>
      </patternFill>
    </fill>
    <fill>
      <patternFill patternType="solid">
        <fgColor theme="1"/>
        <bgColor indexed="64"/>
      </patternFill>
    </fill>
  </fills>
  <borders count="10">
    <border>
      <left/>
      <right/>
      <top/>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s>
  <cellStyleXfs count="1">
    <xf numFmtId="0" fontId="0" fillId="0" borderId="0"/>
  </cellStyleXfs>
  <cellXfs count="34">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20" fontId="0" fillId="0" borderId="5" xfId="0" applyNumberFormat="1" applyBorder="1" applyAlignment="1">
      <alignment horizontal="center" vertical="center"/>
    </xf>
    <xf numFmtId="20" fontId="0" fillId="0" borderId="6" xfId="0" applyNumberFormat="1" applyBorder="1" applyAlignment="1">
      <alignment horizontal="center" vertical="center"/>
    </xf>
    <xf numFmtId="20" fontId="0" fillId="0" borderId="9" xfId="0" applyNumberFormat="1" applyBorder="1" applyAlignment="1">
      <alignment horizontal="center" vertical="center"/>
    </xf>
    <xf numFmtId="0" fontId="0" fillId="0" borderId="1" xfId="0" applyBorder="1" applyAlignment="1">
      <alignment horizontal="left" vertical="center" wrapText="1"/>
    </xf>
    <xf numFmtId="0" fontId="0" fillId="0" borderId="6" xfId="0" applyBorder="1" applyAlignment="1">
      <alignment horizontal="left" vertical="center" wrapText="1"/>
    </xf>
    <xf numFmtId="0" fontId="0" fillId="0" borderId="7" xfId="0" applyBorder="1" applyAlignment="1">
      <alignment horizontal="center" vertical="center"/>
    </xf>
    <xf numFmtId="0" fontId="0" fillId="0" borderId="8" xfId="0" applyBorder="1" applyAlignment="1">
      <alignment horizontal="center" vertical="center"/>
    </xf>
    <xf numFmtId="0" fontId="4" fillId="3" borderId="2" xfId="0" applyFont="1" applyFill="1" applyBorder="1" applyAlignment="1">
      <alignment horizontal="center"/>
    </xf>
    <xf numFmtId="0" fontId="4" fillId="3" borderId="1" xfId="0" applyFont="1" applyFill="1" applyBorder="1" applyAlignment="1">
      <alignment horizont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2" xfId="0" applyBorder="1" applyAlignment="1">
      <alignment horizontal="center" vertical="center"/>
    </xf>
    <xf numFmtId="0" fontId="0" fillId="0" borderId="1" xfId="0"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68.58354039352" createdVersion="4" refreshedVersion="6" minRefreshableVersion="3" recordCount="61">
  <cacheSource type="worksheet">
    <worksheetSource ref="A1:D83" sheet="Journal"/>
  </cacheSource>
  <cacheFields count="4">
    <cacheField name="Jour" numFmtId="16">
      <sharedItems containsSemiMixedTypes="0" containsNonDate="0" containsDate="1" containsString="0" minDate="2018-01-01T00:00:00" maxDate="2018-03-08T00:00:00" count="17">
        <d v="2018-03-07T00:00:00"/>
        <d v="2018-03-06T00:00:00"/>
        <d v="2018-03-02T00:00:00"/>
        <d v="2018-03-01T00:00:00"/>
        <d v="2018-02-28T00:00:00"/>
        <d v="2018-02-27T00:00:00"/>
        <d v="2018-02-16T00:00:00"/>
        <d v="2018-02-15T00:00:00"/>
        <d v="2018-02-14T00:00:00"/>
        <d v="2018-02-13T00:00:00"/>
        <d v="2018-02-09T00:00:00"/>
        <d v="2018-02-08T00:00:00"/>
        <d v="2018-02-07T00:00:00"/>
        <d v="2018-02-06T00:00:00"/>
        <d v="2018-02-02T00:00:00"/>
        <d v="2018-02-01T00:00:00"/>
        <d v="2018-01-01T00:00:00" u="1"/>
      </sharedItems>
    </cacheField>
    <cacheField name="Semaine" numFmtId="1">
      <sharedItems containsSemiMixedTypes="0" containsString="0" containsNumber="1" containsInteger="1" minValue="5" maxValue="10"/>
    </cacheField>
    <cacheField name="Temps [h]" numFmtId="2">
      <sharedItems containsSemiMixedTypes="0" containsString="0" containsNumber="1" minValue="0.1" maxValue="3.15"/>
    </cacheField>
    <cacheField name="Type" numFmtId="0">
      <sharedItems count="4">
        <s v="Documentation"/>
        <s v="Implémentation"/>
        <s v="Analyse"/>
        <s v="Tests"/>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61">
  <r>
    <x v="0"/>
    <n v="10"/>
    <n v="0.75"/>
    <x v="0"/>
  </r>
  <r>
    <x v="1"/>
    <n v="10"/>
    <n v="1"/>
    <x v="1"/>
  </r>
  <r>
    <x v="1"/>
    <n v="10"/>
    <n v="0.75"/>
    <x v="0"/>
  </r>
  <r>
    <x v="1"/>
    <n v="10"/>
    <n v="0.5"/>
    <x v="1"/>
  </r>
  <r>
    <x v="1"/>
    <n v="10"/>
    <n v="0.5"/>
    <x v="1"/>
  </r>
  <r>
    <x v="1"/>
    <n v="10"/>
    <n v="1"/>
    <x v="1"/>
  </r>
  <r>
    <x v="1"/>
    <n v="10"/>
    <n v="0.75"/>
    <x v="1"/>
  </r>
  <r>
    <x v="2"/>
    <n v="9"/>
    <n v="0.2"/>
    <x v="1"/>
  </r>
  <r>
    <x v="2"/>
    <n v="9"/>
    <n v="0.5"/>
    <x v="1"/>
  </r>
  <r>
    <x v="2"/>
    <n v="9"/>
    <n v="1"/>
    <x v="0"/>
  </r>
  <r>
    <x v="2"/>
    <n v="9"/>
    <n v="0.3"/>
    <x v="0"/>
  </r>
  <r>
    <x v="2"/>
    <n v="9"/>
    <n v="1"/>
    <x v="0"/>
  </r>
  <r>
    <x v="3"/>
    <n v="9"/>
    <n v="3.15"/>
    <x v="0"/>
  </r>
  <r>
    <x v="4"/>
    <n v="9"/>
    <n v="1.65"/>
    <x v="1"/>
  </r>
  <r>
    <x v="5"/>
    <n v="9"/>
    <n v="0.75"/>
    <x v="0"/>
  </r>
  <r>
    <x v="5"/>
    <n v="9"/>
    <n v="0.5"/>
    <x v="0"/>
  </r>
  <r>
    <x v="5"/>
    <n v="9"/>
    <n v="1"/>
    <x v="0"/>
  </r>
  <r>
    <x v="5"/>
    <n v="9"/>
    <n v="0.1"/>
    <x v="1"/>
  </r>
  <r>
    <x v="5"/>
    <n v="9"/>
    <n v="0.35"/>
    <x v="2"/>
  </r>
  <r>
    <x v="5"/>
    <n v="9"/>
    <n v="0.5"/>
    <x v="2"/>
  </r>
  <r>
    <x v="5"/>
    <n v="9"/>
    <n v="0.65"/>
    <x v="0"/>
  </r>
  <r>
    <x v="5"/>
    <n v="9"/>
    <n v="0.35"/>
    <x v="2"/>
  </r>
  <r>
    <x v="5"/>
    <n v="9"/>
    <n v="1"/>
    <x v="0"/>
  </r>
  <r>
    <x v="6"/>
    <n v="7"/>
    <n v="1.3"/>
    <x v="0"/>
  </r>
  <r>
    <x v="6"/>
    <n v="7"/>
    <n v="0.5"/>
    <x v="1"/>
  </r>
  <r>
    <x v="6"/>
    <n v="7"/>
    <n v="0.5"/>
    <x v="2"/>
  </r>
  <r>
    <x v="6"/>
    <n v="7"/>
    <n v="0.5"/>
    <x v="3"/>
  </r>
  <r>
    <x v="7"/>
    <n v="7"/>
    <n v="0.7"/>
    <x v="0"/>
  </r>
  <r>
    <x v="7"/>
    <n v="7"/>
    <n v="1.3"/>
    <x v="2"/>
  </r>
  <r>
    <x v="7"/>
    <n v="7"/>
    <n v="1"/>
    <x v="2"/>
  </r>
  <r>
    <x v="8"/>
    <n v="7"/>
    <n v="1.5"/>
    <x v="2"/>
  </r>
  <r>
    <x v="8"/>
    <n v="7"/>
    <n v="0.75"/>
    <x v="2"/>
  </r>
  <r>
    <x v="9"/>
    <n v="7"/>
    <n v="1.1000000000000001"/>
    <x v="2"/>
  </r>
  <r>
    <x v="9"/>
    <n v="7"/>
    <n v="2"/>
    <x v="1"/>
  </r>
  <r>
    <x v="9"/>
    <n v="7"/>
    <n v="1.05"/>
    <x v="0"/>
  </r>
  <r>
    <x v="10"/>
    <n v="6"/>
    <n v="1"/>
    <x v="2"/>
  </r>
  <r>
    <x v="10"/>
    <n v="6"/>
    <n v="0.5"/>
    <x v="0"/>
  </r>
  <r>
    <x v="10"/>
    <n v="6"/>
    <n v="1"/>
    <x v="2"/>
  </r>
  <r>
    <x v="10"/>
    <n v="6"/>
    <n v="0.5"/>
    <x v="1"/>
  </r>
  <r>
    <x v="11"/>
    <n v="6"/>
    <n v="0.5"/>
    <x v="1"/>
  </r>
  <r>
    <x v="11"/>
    <n v="6"/>
    <n v="2"/>
    <x v="2"/>
  </r>
  <r>
    <x v="11"/>
    <n v="6"/>
    <n v="0.5"/>
    <x v="2"/>
  </r>
  <r>
    <x v="12"/>
    <n v="6"/>
    <n v="0.5"/>
    <x v="2"/>
  </r>
  <r>
    <x v="12"/>
    <n v="6"/>
    <n v="0.5"/>
    <x v="3"/>
  </r>
  <r>
    <x v="12"/>
    <n v="6"/>
    <n v="1"/>
    <x v="3"/>
  </r>
  <r>
    <x v="12"/>
    <n v="6"/>
    <n v="0.5"/>
    <x v="0"/>
  </r>
  <r>
    <x v="13"/>
    <n v="6"/>
    <n v="1"/>
    <x v="2"/>
  </r>
  <r>
    <x v="13"/>
    <n v="6"/>
    <n v="0.5"/>
    <x v="0"/>
  </r>
  <r>
    <x v="13"/>
    <n v="6"/>
    <n v="0.5"/>
    <x v="1"/>
  </r>
  <r>
    <x v="13"/>
    <n v="6"/>
    <n v="0.75"/>
    <x v="2"/>
  </r>
  <r>
    <x v="13"/>
    <n v="6"/>
    <n v="1"/>
    <x v="1"/>
  </r>
  <r>
    <x v="13"/>
    <n v="6"/>
    <n v="1"/>
    <x v="2"/>
  </r>
  <r>
    <x v="14"/>
    <n v="5"/>
    <n v="1"/>
    <x v="2"/>
  </r>
  <r>
    <x v="14"/>
    <n v="5"/>
    <n v="0.5"/>
    <x v="2"/>
  </r>
  <r>
    <x v="14"/>
    <n v="5"/>
    <n v="1"/>
    <x v="2"/>
  </r>
  <r>
    <x v="14"/>
    <n v="5"/>
    <n v="0.5"/>
    <x v="2"/>
  </r>
  <r>
    <x v="14"/>
    <n v="5"/>
    <n v="0.5"/>
    <x v="2"/>
  </r>
  <r>
    <x v="15"/>
    <n v="5"/>
    <n v="1"/>
    <x v="2"/>
  </r>
  <r>
    <x v="15"/>
    <n v="5"/>
    <n v="0.5"/>
    <x v="1"/>
  </r>
  <r>
    <x v="15"/>
    <n v="5"/>
    <n v="0.5"/>
    <x v="1"/>
  </r>
  <r>
    <x v="15"/>
    <n v="5"/>
    <n v="1"/>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F21" firstHeaderRow="1" firstDataRow="2" firstDataCol="1"/>
  <pivotFields count="4">
    <pivotField axis="axisRow" numFmtId="16" showAll="0">
      <items count="18">
        <item m="1" x="16"/>
        <item x="11"/>
        <item x="12"/>
        <item x="13"/>
        <item x="14"/>
        <item x="15"/>
        <item x="6"/>
        <item x="7"/>
        <item x="8"/>
        <item x="9"/>
        <item x="10"/>
        <item x="5"/>
        <item x="4"/>
        <item x="2"/>
        <item x="3"/>
        <item x="0"/>
        <item x="1"/>
        <item t="default"/>
      </items>
    </pivotField>
    <pivotField showAll="0"/>
    <pivotField dataField="1" showAll="0"/>
    <pivotField axis="axisCol" showAll="0">
      <items count="5">
        <item x="0"/>
        <item x="1"/>
        <item x="2"/>
        <item x="3"/>
        <item t="default"/>
      </items>
    </pivotField>
  </pivotFields>
  <rowFields count="1">
    <field x="0"/>
  </rowFields>
  <rowItems count="17">
    <i>
      <x v="1"/>
    </i>
    <i>
      <x v="2"/>
    </i>
    <i>
      <x v="3"/>
    </i>
    <i>
      <x v="4"/>
    </i>
    <i>
      <x v="5"/>
    </i>
    <i>
      <x v="6"/>
    </i>
    <i>
      <x v="7"/>
    </i>
    <i>
      <x v="8"/>
    </i>
    <i>
      <x v="9"/>
    </i>
    <i>
      <x v="10"/>
    </i>
    <i>
      <x v="11"/>
    </i>
    <i>
      <x v="12"/>
    </i>
    <i>
      <x v="13"/>
    </i>
    <i>
      <x v="14"/>
    </i>
    <i>
      <x v="15"/>
    </i>
    <i>
      <x v="16"/>
    </i>
    <i t="grand">
      <x/>
    </i>
  </rowItems>
  <colFields count="1">
    <field x="3"/>
  </colFields>
  <colItems count="5">
    <i>
      <x/>
    </i>
    <i>
      <x v="1"/>
    </i>
    <i>
      <x v="2"/>
    </i>
    <i>
      <x v="3"/>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K83"/>
  <sheetViews>
    <sheetView tabSelected="1" workbookViewId="0">
      <selection activeCell="E7" sqref="E7"/>
    </sheetView>
  </sheetViews>
  <sheetFormatPr baseColWidth="10" defaultColWidth="9.140625" defaultRowHeight="15" x14ac:dyDescent="0.25"/>
  <cols>
    <col min="1" max="1" width="7.85546875" style="8" bestFit="1" customWidth="1"/>
    <col min="2" max="2" width="8.140625" style="20" bestFit="1" customWidth="1"/>
    <col min="3" max="3" width="10.7109375" style="16" customWidth="1"/>
    <col min="4" max="4" width="15.42578125" style="8" bestFit="1" customWidth="1"/>
    <col min="5" max="5" width="84.85546875" style="17" bestFit="1" customWidth="1"/>
    <col min="6" max="6" width="75.140625" style="17" customWidth="1"/>
    <col min="7" max="16384" width="9.140625" style="11"/>
  </cols>
  <sheetData>
    <row r="1" spans="1:6" ht="24" customHeight="1" x14ac:dyDescent="0.25">
      <c r="A1" s="6" t="s">
        <v>2</v>
      </c>
      <c r="B1" s="18" t="s">
        <v>12</v>
      </c>
      <c r="C1" s="9" t="s">
        <v>3</v>
      </c>
      <c r="D1" s="6" t="s">
        <v>4</v>
      </c>
      <c r="E1" s="10" t="s">
        <v>0</v>
      </c>
      <c r="F1" s="10" t="s">
        <v>1</v>
      </c>
    </row>
    <row r="2" spans="1:6" x14ac:dyDescent="0.25">
      <c r="A2" s="7">
        <v>43174</v>
      </c>
      <c r="B2" s="19">
        <f t="shared" ref="B2" si="0">WEEKNUM(A2)</f>
        <v>11</v>
      </c>
      <c r="C2" s="12">
        <v>0</v>
      </c>
      <c r="D2" s="13" t="s">
        <v>9</v>
      </c>
      <c r="E2" s="24"/>
      <c r="F2" s="14"/>
    </row>
    <row r="3" spans="1:6" ht="30" x14ac:dyDescent="0.25">
      <c r="A3" s="7">
        <v>43174</v>
      </c>
      <c r="B3" s="19">
        <f t="shared" ref="B3" si="1">WEEKNUM(A3)</f>
        <v>11</v>
      </c>
      <c r="C3" s="12">
        <v>0.5</v>
      </c>
      <c r="D3" s="13" t="s">
        <v>9</v>
      </c>
      <c r="E3" s="24" t="s">
        <v>123</v>
      </c>
      <c r="F3" s="14"/>
    </row>
    <row r="4" spans="1:6" x14ac:dyDescent="0.25">
      <c r="A4" s="7">
        <v>43174</v>
      </c>
      <c r="B4" s="19">
        <f t="shared" ref="B4" si="2">WEEKNUM(A4)</f>
        <v>11</v>
      </c>
      <c r="C4" s="12">
        <v>0.5</v>
      </c>
      <c r="D4" s="13" t="s">
        <v>9</v>
      </c>
      <c r="E4" s="24" t="s">
        <v>122</v>
      </c>
      <c r="F4" s="14"/>
    </row>
    <row r="5" spans="1:6" x14ac:dyDescent="0.25">
      <c r="A5" s="7">
        <v>43174</v>
      </c>
      <c r="B5" s="19">
        <f t="shared" ref="B5" si="3">WEEKNUM(A5)</f>
        <v>11</v>
      </c>
      <c r="C5" s="12">
        <v>0.5</v>
      </c>
      <c r="D5" s="13" t="s">
        <v>8</v>
      </c>
      <c r="E5" s="24" t="s">
        <v>121</v>
      </c>
      <c r="F5" s="14"/>
    </row>
    <row r="6" spans="1:6" x14ac:dyDescent="0.25">
      <c r="A6" s="7">
        <v>43173</v>
      </c>
      <c r="B6" s="19">
        <f t="shared" ref="B6" si="4">WEEKNUM(A6)</f>
        <v>11</v>
      </c>
      <c r="C6" s="12">
        <v>0.75</v>
      </c>
      <c r="D6" s="13" t="s">
        <v>7</v>
      </c>
      <c r="E6" s="24" t="s">
        <v>120</v>
      </c>
      <c r="F6" s="14"/>
    </row>
    <row r="7" spans="1:6" ht="60" x14ac:dyDescent="0.25">
      <c r="A7" s="7">
        <v>43173</v>
      </c>
      <c r="B7" s="19">
        <f>WEEKNUM(A7)</f>
        <v>11</v>
      </c>
      <c r="C7" s="12">
        <v>1.5</v>
      </c>
      <c r="D7" s="13" t="s">
        <v>7</v>
      </c>
      <c r="E7" s="24" t="s">
        <v>118</v>
      </c>
      <c r="F7" s="14" t="s">
        <v>119</v>
      </c>
    </row>
    <row r="8" spans="1:6" ht="30" x14ac:dyDescent="0.25">
      <c r="A8" s="7">
        <v>43172</v>
      </c>
      <c r="B8" s="19">
        <f t="shared" ref="B8" si="5">WEEKNUM(A8)</f>
        <v>11</v>
      </c>
      <c r="C8" s="12">
        <v>0.4</v>
      </c>
      <c r="D8" s="13" t="s">
        <v>8</v>
      </c>
      <c r="E8" s="24" t="s">
        <v>116</v>
      </c>
      <c r="F8" s="14" t="s">
        <v>117</v>
      </c>
    </row>
    <row r="9" spans="1:6" ht="30" x14ac:dyDescent="0.25">
      <c r="A9" s="7">
        <v>43172</v>
      </c>
      <c r="B9" s="19">
        <f t="shared" ref="B9" si="6">WEEKNUM(A9)</f>
        <v>11</v>
      </c>
      <c r="C9" s="12">
        <v>2</v>
      </c>
      <c r="D9" s="13" t="s">
        <v>7</v>
      </c>
      <c r="E9" s="24" t="s">
        <v>115</v>
      </c>
      <c r="F9" s="14"/>
    </row>
    <row r="10" spans="1:6" ht="30" x14ac:dyDescent="0.25">
      <c r="A10" s="7">
        <v>43172</v>
      </c>
      <c r="B10" s="19">
        <f t="shared" ref="B10" si="7">WEEKNUM(A10)</f>
        <v>11</v>
      </c>
      <c r="C10" s="12">
        <v>0.5</v>
      </c>
      <c r="D10" s="13" t="s">
        <v>7</v>
      </c>
      <c r="E10" s="24" t="s">
        <v>112</v>
      </c>
      <c r="F10" s="14" t="s">
        <v>114</v>
      </c>
    </row>
    <row r="11" spans="1:6" ht="45" x14ac:dyDescent="0.25">
      <c r="A11" s="7">
        <v>43172</v>
      </c>
      <c r="B11" s="19">
        <f t="shared" ref="B11" si="8">WEEKNUM(A11)</f>
        <v>11</v>
      </c>
      <c r="C11" s="12">
        <v>0.5</v>
      </c>
      <c r="D11" s="13" t="s">
        <v>7</v>
      </c>
      <c r="E11" s="24" t="s">
        <v>111</v>
      </c>
      <c r="F11" s="14"/>
    </row>
    <row r="12" spans="1:6" ht="45" x14ac:dyDescent="0.25">
      <c r="A12" s="7">
        <v>43172</v>
      </c>
      <c r="B12" s="19">
        <f t="shared" ref="B12" si="9">WEEKNUM(A12)</f>
        <v>11</v>
      </c>
      <c r="C12" s="12">
        <v>1</v>
      </c>
      <c r="D12" s="13" t="s">
        <v>7</v>
      </c>
      <c r="E12" s="24" t="s">
        <v>109</v>
      </c>
      <c r="F12" s="14" t="s">
        <v>110</v>
      </c>
    </row>
    <row r="13" spans="1:6" ht="45" x14ac:dyDescent="0.25">
      <c r="A13" s="7">
        <v>43168</v>
      </c>
      <c r="B13" s="19">
        <f t="shared" ref="B13" si="10">WEEKNUM(A13)</f>
        <v>10</v>
      </c>
      <c r="C13" s="12">
        <v>0.5</v>
      </c>
      <c r="D13" s="13" t="s">
        <v>8</v>
      </c>
      <c r="E13" s="24" t="s">
        <v>107</v>
      </c>
      <c r="F13" s="24" t="s">
        <v>108</v>
      </c>
    </row>
    <row r="14" spans="1:6" ht="45" x14ac:dyDescent="0.25">
      <c r="A14" s="7">
        <v>43168</v>
      </c>
      <c r="B14" s="19">
        <f t="shared" ref="B14" si="11">WEEKNUM(A14)</f>
        <v>10</v>
      </c>
      <c r="C14" s="12">
        <v>0.6</v>
      </c>
      <c r="D14" s="13" t="s">
        <v>9</v>
      </c>
      <c r="E14" s="24" t="s">
        <v>106</v>
      </c>
      <c r="F14" s="14"/>
    </row>
    <row r="15" spans="1:6" x14ac:dyDescent="0.25">
      <c r="A15" s="7">
        <v>43168</v>
      </c>
      <c r="B15" s="19">
        <f t="shared" ref="B15" si="12">WEEKNUM(A15)</f>
        <v>10</v>
      </c>
      <c r="C15" s="12">
        <v>0.5</v>
      </c>
      <c r="D15" s="13" t="s">
        <v>9</v>
      </c>
      <c r="E15" s="24" t="s">
        <v>104</v>
      </c>
      <c r="F15" s="14"/>
    </row>
    <row r="16" spans="1:6" ht="45" x14ac:dyDescent="0.25">
      <c r="A16" s="7">
        <v>43168</v>
      </c>
      <c r="B16" s="19">
        <f t="shared" ref="B16" si="13">WEEKNUM(A16)</f>
        <v>10</v>
      </c>
      <c r="C16" s="12">
        <v>1.5</v>
      </c>
      <c r="D16" s="13" t="s">
        <v>7</v>
      </c>
      <c r="E16" s="24" t="s">
        <v>103</v>
      </c>
      <c r="F16" s="14"/>
    </row>
    <row r="17" spans="1:6" x14ac:dyDescent="0.25">
      <c r="A17" s="7">
        <v>43167</v>
      </c>
      <c r="B17" s="19">
        <f t="shared" ref="B17" si="14">WEEKNUM(A17)</f>
        <v>10</v>
      </c>
      <c r="C17" s="12">
        <v>0.5</v>
      </c>
      <c r="D17" s="13" t="s">
        <v>7</v>
      </c>
      <c r="E17" s="24" t="s">
        <v>105</v>
      </c>
      <c r="F17" s="14"/>
    </row>
    <row r="18" spans="1:6" ht="60" x14ac:dyDescent="0.25">
      <c r="A18" s="7">
        <v>43167</v>
      </c>
      <c r="B18" s="19">
        <f t="shared" ref="B18" si="15">WEEKNUM(A18)</f>
        <v>10</v>
      </c>
      <c r="C18" s="12">
        <v>1</v>
      </c>
      <c r="D18" s="13" t="s">
        <v>7</v>
      </c>
      <c r="E18" s="24" t="s">
        <v>101</v>
      </c>
      <c r="F18" s="14" t="s">
        <v>102</v>
      </c>
    </row>
    <row r="19" spans="1:6" ht="30" x14ac:dyDescent="0.25">
      <c r="A19" s="7">
        <v>43167</v>
      </c>
      <c r="B19" s="19">
        <f t="shared" ref="B19" si="16">WEEKNUM(A19)</f>
        <v>10</v>
      </c>
      <c r="C19" s="12">
        <v>0.75</v>
      </c>
      <c r="D19" s="13" t="s">
        <v>7</v>
      </c>
      <c r="E19" s="24" t="s">
        <v>100</v>
      </c>
      <c r="F19" s="14"/>
    </row>
    <row r="20" spans="1:6" ht="45" x14ac:dyDescent="0.25">
      <c r="A20" s="7">
        <v>43167</v>
      </c>
      <c r="B20" s="19">
        <f t="shared" ref="B20" si="17">WEEKNUM(A20)</f>
        <v>10</v>
      </c>
      <c r="C20" s="12">
        <v>0.75</v>
      </c>
      <c r="D20" s="13" t="s">
        <v>7</v>
      </c>
      <c r="E20" s="24" t="s">
        <v>99</v>
      </c>
      <c r="F20" s="14"/>
    </row>
    <row r="21" spans="1:6" ht="30" x14ac:dyDescent="0.25">
      <c r="A21" s="7">
        <v>43166</v>
      </c>
      <c r="B21" s="19">
        <f t="shared" ref="B21" si="18">WEEKNUM(A21)</f>
        <v>10</v>
      </c>
      <c r="C21" s="12">
        <v>1.3</v>
      </c>
      <c r="D21" s="13" t="s">
        <v>7</v>
      </c>
      <c r="E21" s="24" t="s">
        <v>98</v>
      </c>
      <c r="F21" s="14"/>
    </row>
    <row r="22" spans="1:6" ht="30" x14ac:dyDescent="0.25">
      <c r="A22" s="7">
        <v>43166</v>
      </c>
      <c r="B22" s="19">
        <f t="shared" ref="B22" si="19">WEEKNUM(A22)</f>
        <v>10</v>
      </c>
      <c r="C22" s="12">
        <v>0.2</v>
      </c>
      <c r="D22" s="13" t="s">
        <v>7</v>
      </c>
      <c r="E22" s="24" t="s">
        <v>96</v>
      </c>
      <c r="F22" s="14" t="s">
        <v>97</v>
      </c>
    </row>
    <row r="23" spans="1:6" ht="45" x14ac:dyDescent="0.25">
      <c r="A23" s="7">
        <v>43166</v>
      </c>
      <c r="B23" s="19">
        <f t="shared" ref="B23" si="20">WEEKNUM(A23)</f>
        <v>10</v>
      </c>
      <c r="C23" s="12">
        <v>0.75</v>
      </c>
      <c r="D23" s="13" t="s">
        <v>9</v>
      </c>
      <c r="E23" s="24" t="s">
        <v>95</v>
      </c>
      <c r="F23" s="14"/>
    </row>
    <row r="24" spans="1:6" ht="30" x14ac:dyDescent="0.25">
      <c r="A24" s="7">
        <v>43165</v>
      </c>
      <c r="B24" s="19">
        <f t="shared" ref="B24" si="21">WEEKNUM(A24)</f>
        <v>10</v>
      </c>
      <c r="C24" s="12">
        <v>1</v>
      </c>
      <c r="D24" s="13" t="s">
        <v>7</v>
      </c>
      <c r="E24" s="24" t="s">
        <v>93</v>
      </c>
      <c r="F24" s="14" t="s">
        <v>94</v>
      </c>
    </row>
    <row r="25" spans="1:6" ht="45" x14ac:dyDescent="0.25">
      <c r="A25" s="7">
        <v>43165</v>
      </c>
      <c r="B25" s="19">
        <f t="shared" ref="B25" si="22">WEEKNUM(A25)</f>
        <v>10</v>
      </c>
      <c r="C25" s="12">
        <v>0.75</v>
      </c>
      <c r="D25" s="13" t="s">
        <v>9</v>
      </c>
      <c r="E25" s="24" t="s">
        <v>91</v>
      </c>
      <c r="F25" s="14" t="s">
        <v>92</v>
      </c>
    </row>
    <row r="26" spans="1:6" x14ac:dyDescent="0.25">
      <c r="A26" s="7">
        <v>43165</v>
      </c>
      <c r="B26" s="19">
        <f t="shared" ref="B26" si="23">WEEKNUM(A26)</f>
        <v>10</v>
      </c>
      <c r="C26" s="12">
        <v>0.5</v>
      </c>
      <c r="D26" s="13" t="s">
        <v>7</v>
      </c>
      <c r="E26" s="24" t="s">
        <v>89</v>
      </c>
      <c r="F26" s="14" t="s">
        <v>90</v>
      </c>
    </row>
    <row r="27" spans="1:6" x14ac:dyDescent="0.25">
      <c r="A27" s="7">
        <v>43165</v>
      </c>
      <c r="B27" s="19">
        <f t="shared" ref="B27" si="24">WEEKNUM(A27)</f>
        <v>10</v>
      </c>
      <c r="C27" s="12">
        <v>0.5</v>
      </c>
      <c r="D27" s="13" t="s">
        <v>7</v>
      </c>
      <c r="E27" s="24" t="s">
        <v>88</v>
      </c>
      <c r="F27" s="14"/>
    </row>
    <row r="28" spans="1:6" ht="45" x14ac:dyDescent="0.25">
      <c r="A28" s="7">
        <v>43165</v>
      </c>
      <c r="B28" s="19">
        <f t="shared" ref="B28" si="25">WEEKNUM(A28)</f>
        <v>10</v>
      </c>
      <c r="C28" s="12">
        <v>1</v>
      </c>
      <c r="D28" s="13" t="s">
        <v>7</v>
      </c>
      <c r="E28" s="24" t="s">
        <v>85</v>
      </c>
      <c r="F28" s="14" t="s">
        <v>86</v>
      </c>
    </row>
    <row r="29" spans="1:6" x14ac:dyDescent="0.25">
      <c r="A29" s="7">
        <v>43165</v>
      </c>
      <c r="B29" s="19">
        <f t="shared" ref="B29" si="26">WEEKNUM(A29)</f>
        <v>10</v>
      </c>
      <c r="C29" s="12">
        <v>0.75</v>
      </c>
      <c r="D29" s="13" t="s">
        <v>7</v>
      </c>
      <c r="E29" s="24" t="s">
        <v>87</v>
      </c>
      <c r="F29" s="14"/>
    </row>
    <row r="30" spans="1:6" ht="45" x14ac:dyDescent="0.25">
      <c r="A30" s="7">
        <v>43161</v>
      </c>
      <c r="B30" s="19">
        <f t="shared" ref="B30" si="27">WEEKNUM(A30)</f>
        <v>9</v>
      </c>
      <c r="C30" s="12">
        <v>0.2</v>
      </c>
      <c r="D30" s="13" t="s">
        <v>7</v>
      </c>
      <c r="E30" s="24" t="s">
        <v>82</v>
      </c>
      <c r="F30" s="14" t="s">
        <v>83</v>
      </c>
    </row>
    <row r="31" spans="1:6" ht="30" x14ac:dyDescent="0.25">
      <c r="A31" s="7">
        <v>43161</v>
      </c>
      <c r="B31" s="19">
        <f t="shared" ref="B31:B83" si="28">WEEKNUM(A31)</f>
        <v>9</v>
      </c>
      <c r="C31" s="12">
        <v>0.5</v>
      </c>
      <c r="D31" s="13" t="s">
        <v>7</v>
      </c>
      <c r="E31" s="24" t="s">
        <v>80</v>
      </c>
      <c r="F31" s="14" t="s">
        <v>81</v>
      </c>
    </row>
    <row r="32" spans="1:6" ht="60" x14ac:dyDescent="0.25">
      <c r="A32" s="7">
        <v>43161</v>
      </c>
      <c r="B32" s="19">
        <f t="shared" si="28"/>
        <v>9</v>
      </c>
      <c r="C32" s="12">
        <v>1</v>
      </c>
      <c r="D32" s="13" t="s">
        <v>9</v>
      </c>
      <c r="E32" s="24" t="s">
        <v>79</v>
      </c>
      <c r="F32" s="14" t="s">
        <v>84</v>
      </c>
    </row>
    <row r="33" spans="1:6" x14ac:dyDescent="0.25">
      <c r="A33" s="7">
        <v>43161</v>
      </c>
      <c r="B33" s="19">
        <f t="shared" si="28"/>
        <v>9</v>
      </c>
      <c r="C33" s="12">
        <v>0.3</v>
      </c>
      <c r="D33" s="13" t="s">
        <v>9</v>
      </c>
      <c r="E33" s="24" t="s">
        <v>78</v>
      </c>
      <c r="F33" s="14"/>
    </row>
    <row r="34" spans="1:6" x14ac:dyDescent="0.25">
      <c r="A34" s="7">
        <v>43161</v>
      </c>
      <c r="B34" s="19">
        <f t="shared" si="28"/>
        <v>9</v>
      </c>
      <c r="C34" s="12">
        <v>1</v>
      </c>
      <c r="D34" s="13" t="s">
        <v>9</v>
      </c>
      <c r="E34" s="24" t="s">
        <v>77</v>
      </c>
      <c r="F34" s="14"/>
    </row>
    <row r="35" spans="1:6" x14ac:dyDescent="0.25">
      <c r="A35" s="7">
        <v>43160</v>
      </c>
      <c r="B35" s="19">
        <f t="shared" si="28"/>
        <v>9</v>
      </c>
      <c r="C35" s="12">
        <v>3.15</v>
      </c>
      <c r="D35" s="13" t="s">
        <v>9</v>
      </c>
      <c r="E35" s="24" t="s">
        <v>76</v>
      </c>
      <c r="F35" s="14"/>
    </row>
    <row r="36" spans="1:6" x14ac:dyDescent="0.25">
      <c r="A36" s="7">
        <v>43159</v>
      </c>
      <c r="B36" s="19">
        <f t="shared" si="28"/>
        <v>9</v>
      </c>
      <c r="C36" s="12">
        <v>1.65</v>
      </c>
      <c r="D36" s="13" t="s">
        <v>7</v>
      </c>
      <c r="E36" s="24" t="s">
        <v>75</v>
      </c>
      <c r="F36" s="14"/>
    </row>
    <row r="37" spans="1:6" x14ac:dyDescent="0.25">
      <c r="A37" s="7">
        <v>43158</v>
      </c>
      <c r="B37" s="19">
        <f t="shared" si="28"/>
        <v>9</v>
      </c>
      <c r="C37" s="12">
        <v>0.75</v>
      </c>
      <c r="D37" s="13" t="s">
        <v>9</v>
      </c>
      <c r="E37" s="24" t="s">
        <v>74</v>
      </c>
      <c r="F37" s="14"/>
    </row>
    <row r="38" spans="1:6" x14ac:dyDescent="0.25">
      <c r="A38" s="7">
        <v>43158</v>
      </c>
      <c r="B38" s="19">
        <f t="shared" si="28"/>
        <v>9</v>
      </c>
      <c r="C38" s="12">
        <v>0.5</v>
      </c>
      <c r="D38" s="13" t="s">
        <v>9</v>
      </c>
      <c r="E38" s="24" t="s">
        <v>73</v>
      </c>
      <c r="F38" s="14"/>
    </row>
    <row r="39" spans="1:6" x14ac:dyDescent="0.25">
      <c r="A39" s="7">
        <v>43158</v>
      </c>
      <c r="B39" s="19">
        <f t="shared" si="28"/>
        <v>9</v>
      </c>
      <c r="C39" s="12">
        <v>1</v>
      </c>
      <c r="D39" s="13" t="s">
        <v>9</v>
      </c>
      <c r="E39" s="24" t="s">
        <v>72</v>
      </c>
      <c r="F39" s="14"/>
    </row>
    <row r="40" spans="1:6" ht="30" x14ac:dyDescent="0.25">
      <c r="A40" s="7">
        <v>43158</v>
      </c>
      <c r="B40" s="19">
        <f t="shared" si="28"/>
        <v>9</v>
      </c>
      <c r="C40" s="12">
        <v>0.1</v>
      </c>
      <c r="D40" s="13" t="s">
        <v>7</v>
      </c>
      <c r="E40" s="24" t="s">
        <v>71</v>
      </c>
      <c r="F40" s="14"/>
    </row>
    <row r="41" spans="1:6" x14ac:dyDescent="0.25">
      <c r="A41" s="7">
        <v>43158</v>
      </c>
      <c r="B41" s="19">
        <f t="shared" si="28"/>
        <v>9</v>
      </c>
      <c r="C41" s="12">
        <v>0.35</v>
      </c>
      <c r="D41" s="13" t="s">
        <v>6</v>
      </c>
      <c r="E41" s="24" t="s">
        <v>70</v>
      </c>
      <c r="F41" s="14"/>
    </row>
    <row r="42" spans="1:6" ht="30" x14ac:dyDescent="0.25">
      <c r="A42" s="7">
        <v>43158</v>
      </c>
      <c r="B42" s="19">
        <f t="shared" si="28"/>
        <v>9</v>
      </c>
      <c r="C42" s="12">
        <v>0.5</v>
      </c>
      <c r="D42" s="13" t="s">
        <v>6</v>
      </c>
      <c r="E42" s="24" t="s">
        <v>69</v>
      </c>
      <c r="F42" s="14"/>
    </row>
    <row r="43" spans="1:6" x14ac:dyDescent="0.25">
      <c r="A43" s="7">
        <v>43158</v>
      </c>
      <c r="B43" s="19">
        <f t="shared" si="28"/>
        <v>9</v>
      </c>
      <c r="C43" s="12">
        <v>0.65</v>
      </c>
      <c r="D43" s="13" t="s">
        <v>9</v>
      </c>
      <c r="E43" s="24" t="s">
        <v>68</v>
      </c>
      <c r="F43" s="14"/>
    </row>
    <row r="44" spans="1:6" x14ac:dyDescent="0.25">
      <c r="A44" s="7">
        <v>43158</v>
      </c>
      <c r="B44" s="19">
        <f t="shared" si="28"/>
        <v>9</v>
      </c>
      <c r="C44" s="12">
        <v>0.35</v>
      </c>
      <c r="D44" s="13" t="s">
        <v>6</v>
      </c>
      <c r="E44" s="24" t="s">
        <v>67</v>
      </c>
      <c r="F44" s="14"/>
    </row>
    <row r="45" spans="1:6" ht="30" x14ac:dyDescent="0.25">
      <c r="A45" s="7">
        <v>43158</v>
      </c>
      <c r="B45" s="19">
        <f t="shared" si="28"/>
        <v>9</v>
      </c>
      <c r="C45" s="12">
        <v>1</v>
      </c>
      <c r="D45" s="13" t="s">
        <v>9</v>
      </c>
      <c r="E45" s="24" t="s">
        <v>66</v>
      </c>
      <c r="F45" s="14"/>
    </row>
    <row r="46" spans="1:6" ht="45" x14ac:dyDescent="0.25">
      <c r="A46" s="7">
        <v>43147</v>
      </c>
      <c r="B46" s="19">
        <f t="shared" si="28"/>
        <v>7</v>
      </c>
      <c r="C46" s="12">
        <v>1.3</v>
      </c>
      <c r="D46" s="13" t="s">
        <v>9</v>
      </c>
      <c r="E46" s="24" t="s">
        <v>65</v>
      </c>
      <c r="F46" s="14"/>
    </row>
    <row r="47" spans="1:6" ht="30" x14ac:dyDescent="0.25">
      <c r="A47" s="7">
        <v>43147</v>
      </c>
      <c r="B47" s="19">
        <f t="shared" si="28"/>
        <v>7</v>
      </c>
      <c r="C47" s="12">
        <v>0.5</v>
      </c>
      <c r="D47" s="13" t="s">
        <v>7</v>
      </c>
      <c r="E47" s="24" t="s">
        <v>64</v>
      </c>
      <c r="F47" s="14"/>
    </row>
    <row r="48" spans="1:6" x14ac:dyDescent="0.25">
      <c r="A48" s="7">
        <v>43147</v>
      </c>
      <c r="B48" s="19">
        <f t="shared" si="28"/>
        <v>7</v>
      </c>
      <c r="C48" s="12">
        <v>0.5</v>
      </c>
      <c r="D48" s="13" t="s">
        <v>6</v>
      </c>
      <c r="E48" s="24" t="s">
        <v>63</v>
      </c>
      <c r="F48" s="14"/>
    </row>
    <row r="49" spans="1:6" ht="30" x14ac:dyDescent="0.25">
      <c r="A49" s="7">
        <v>43147</v>
      </c>
      <c r="B49" s="19">
        <f t="shared" si="28"/>
        <v>7</v>
      </c>
      <c r="C49" s="12">
        <v>0.5</v>
      </c>
      <c r="D49" s="13" t="s">
        <v>8</v>
      </c>
      <c r="E49" s="24" t="s">
        <v>61</v>
      </c>
      <c r="F49" s="25" t="s">
        <v>62</v>
      </c>
    </row>
    <row r="50" spans="1:6" ht="30" x14ac:dyDescent="0.25">
      <c r="A50" s="7">
        <v>43146</v>
      </c>
      <c r="B50" s="19">
        <f t="shared" si="28"/>
        <v>7</v>
      </c>
      <c r="C50" s="12">
        <v>0.7</v>
      </c>
      <c r="D50" s="13" t="s">
        <v>9</v>
      </c>
      <c r="E50" s="24" t="s">
        <v>60</v>
      </c>
      <c r="F50" s="14"/>
    </row>
    <row r="51" spans="1:6" x14ac:dyDescent="0.25">
      <c r="A51" s="7">
        <v>43146</v>
      </c>
      <c r="B51" s="19">
        <f t="shared" si="28"/>
        <v>7</v>
      </c>
      <c r="C51" s="12">
        <v>1.3</v>
      </c>
      <c r="D51" s="13" t="s">
        <v>6</v>
      </c>
      <c r="E51" s="24" t="s">
        <v>59</v>
      </c>
      <c r="F51" s="14"/>
    </row>
    <row r="52" spans="1:6" ht="30" x14ac:dyDescent="0.25">
      <c r="A52" s="7">
        <v>43146</v>
      </c>
      <c r="B52" s="19">
        <f t="shared" si="28"/>
        <v>7</v>
      </c>
      <c r="C52" s="12">
        <v>1</v>
      </c>
      <c r="D52" s="13" t="s">
        <v>6</v>
      </c>
      <c r="E52" s="24" t="s">
        <v>58</v>
      </c>
      <c r="F52" s="14"/>
    </row>
    <row r="53" spans="1:6" x14ac:dyDescent="0.25">
      <c r="A53" s="7">
        <v>43145</v>
      </c>
      <c r="B53" s="19">
        <f t="shared" si="28"/>
        <v>7</v>
      </c>
      <c r="C53" s="12">
        <v>1.5</v>
      </c>
      <c r="D53" s="13" t="s">
        <v>6</v>
      </c>
      <c r="E53" s="24" t="s">
        <v>57</v>
      </c>
      <c r="F53" s="14"/>
    </row>
    <row r="54" spans="1:6" ht="30" x14ac:dyDescent="0.25">
      <c r="A54" s="7">
        <v>43145</v>
      </c>
      <c r="B54" s="19">
        <f t="shared" si="28"/>
        <v>7</v>
      </c>
      <c r="C54" s="12">
        <v>0.75</v>
      </c>
      <c r="D54" s="13" t="s">
        <v>6</v>
      </c>
      <c r="E54" s="24" t="s">
        <v>55</v>
      </c>
      <c r="F54" s="25" t="s">
        <v>56</v>
      </c>
    </row>
    <row r="55" spans="1:6" x14ac:dyDescent="0.25">
      <c r="A55" s="7">
        <v>43144</v>
      </c>
      <c r="B55" s="19">
        <f t="shared" si="28"/>
        <v>7</v>
      </c>
      <c r="C55" s="12">
        <v>1.1000000000000001</v>
      </c>
      <c r="D55" s="13" t="s">
        <v>6</v>
      </c>
      <c r="E55" s="24" t="s">
        <v>54</v>
      </c>
      <c r="F55" s="14"/>
    </row>
    <row r="56" spans="1:6" ht="60" x14ac:dyDescent="0.25">
      <c r="A56" s="7">
        <v>43144</v>
      </c>
      <c r="B56" s="19">
        <f t="shared" si="28"/>
        <v>7</v>
      </c>
      <c r="C56" s="12">
        <v>2</v>
      </c>
      <c r="D56" s="13" t="s">
        <v>7</v>
      </c>
      <c r="E56" s="24" t="s">
        <v>52</v>
      </c>
      <c r="F56" s="25" t="s">
        <v>53</v>
      </c>
    </row>
    <row r="57" spans="1:6" x14ac:dyDescent="0.25">
      <c r="A57" s="7">
        <v>43144</v>
      </c>
      <c r="B57" s="19">
        <f t="shared" si="28"/>
        <v>7</v>
      </c>
      <c r="C57" s="12">
        <v>1.05</v>
      </c>
      <c r="D57" s="13" t="s">
        <v>9</v>
      </c>
      <c r="E57" s="24" t="s">
        <v>51</v>
      </c>
      <c r="F57" s="14"/>
    </row>
    <row r="58" spans="1:6" x14ac:dyDescent="0.25">
      <c r="A58" s="7">
        <v>43140</v>
      </c>
      <c r="B58" s="19">
        <f t="shared" si="28"/>
        <v>6</v>
      </c>
      <c r="C58" s="12">
        <v>1</v>
      </c>
      <c r="D58" s="13" t="s">
        <v>6</v>
      </c>
      <c r="E58" s="24" t="s">
        <v>50</v>
      </c>
      <c r="F58" s="14"/>
    </row>
    <row r="59" spans="1:6" x14ac:dyDescent="0.25">
      <c r="A59" s="7">
        <v>43140</v>
      </c>
      <c r="B59" s="19">
        <f t="shared" si="28"/>
        <v>6</v>
      </c>
      <c r="C59" s="12">
        <v>0.5</v>
      </c>
      <c r="D59" s="13" t="s">
        <v>9</v>
      </c>
      <c r="E59" s="24" t="s">
        <v>49</v>
      </c>
      <c r="F59" s="14"/>
    </row>
    <row r="60" spans="1:6" x14ac:dyDescent="0.25">
      <c r="A60" s="7">
        <v>43140</v>
      </c>
      <c r="B60" s="19">
        <f t="shared" si="28"/>
        <v>6</v>
      </c>
      <c r="C60" s="12">
        <v>1</v>
      </c>
      <c r="D60" s="13" t="s">
        <v>6</v>
      </c>
      <c r="E60" s="24" t="s">
        <v>48</v>
      </c>
      <c r="F60" s="14"/>
    </row>
    <row r="61" spans="1:6" x14ac:dyDescent="0.25">
      <c r="A61" s="7">
        <v>43140</v>
      </c>
      <c r="B61" s="19">
        <f t="shared" si="28"/>
        <v>6</v>
      </c>
      <c r="C61" s="12">
        <v>0.5</v>
      </c>
      <c r="D61" s="13" t="s">
        <v>7</v>
      </c>
      <c r="E61" s="24" t="s">
        <v>45</v>
      </c>
      <c r="F61" s="25" t="s">
        <v>47</v>
      </c>
    </row>
    <row r="62" spans="1:6" ht="45" x14ac:dyDescent="0.25">
      <c r="A62" s="7">
        <v>43139</v>
      </c>
      <c r="B62" s="19">
        <f t="shared" si="28"/>
        <v>6</v>
      </c>
      <c r="C62" s="12">
        <v>0.5</v>
      </c>
      <c r="D62" s="13" t="s">
        <v>7</v>
      </c>
      <c r="E62" s="24" t="s">
        <v>45</v>
      </c>
      <c r="F62" s="25" t="s">
        <v>46</v>
      </c>
    </row>
    <row r="63" spans="1:6" ht="45" x14ac:dyDescent="0.25">
      <c r="A63" s="7">
        <v>43139</v>
      </c>
      <c r="B63" s="19">
        <f t="shared" si="28"/>
        <v>6</v>
      </c>
      <c r="C63" s="12">
        <v>2</v>
      </c>
      <c r="D63" s="13" t="s">
        <v>6</v>
      </c>
      <c r="E63" s="24" t="s">
        <v>44</v>
      </c>
      <c r="F63" s="25" t="s">
        <v>113</v>
      </c>
    </row>
    <row r="64" spans="1:6" ht="30" x14ac:dyDescent="0.25">
      <c r="A64" s="7">
        <v>43139</v>
      </c>
      <c r="B64" s="19">
        <f t="shared" si="28"/>
        <v>6</v>
      </c>
      <c r="C64" s="12">
        <v>0.5</v>
      </c>
      <c r="D64" s="13" t="s">
        <v>6</v>
      </c>
      <c r="E64" s="24" t="s">
        <v>43</v>
      </c>
      <c r="F64" s="14"/>
    </row>
    <row r="65" spans="1:11" ht="30" x14ac:dyDescent="0.25">
      <c r="A65" s="7">
        <v>43138</v>
      </c>
      <c r="B65" s="19">
        <f t="shared" si="28"/>
        <v>6</v>
      </c>
      <c r="C65" s="12">
        <v>0.5</v>
      </c>
      <c r="D65" s="13" t="s">
        <v>6</v>
      </c>
      <c r="E65" s="24" t="s">
        <v>42</v>
      </c>
      <c r="F65" s="14"/>
    </row>
    <row r="66" spans="1:11" ht="30" x14ac:dyDescent="0.25">
      <c r="A66" s="7">
        <v>43138</v>
      </c>
      <c r="B66" s="19">
        <f t="shared" si="28"/>
        <v>6</v>
      </c>
      <c r="C66" s="12">
        <v>0.5</v>
      </c>
      <c r="D66" s="13" t="s">
        <v>8</v>
      </c>
      <c r="E66" s="24" t="s">
        <v>41</v>
      </c>
      <c r="F66" s="14"/>
    </row>
    <row r="67" spans="1:11" ht="30" x14ac:dyDescent="0.25">
      <c r="A67" s="7">
        <v>43138</v>
      </c>
      <c r="B67" s="19">
        <f t="shared" si="28"/>
        <v>6</v>
      </c>
      <c r="C67" s="12">
        <v>1</v>
      </c>
      <c r="D67" s="13" t="s">
        <v>8</v>
      </c>
      <c r="E67" s="24" t="s">
        <v>40</v>
      </c>
      <c r="F67" s="14"/>
    </row>
    <row r="68" spans="1:11" x14ac:dyDescent="0.25">
      <c r="A68" s="7">
        <v>43138</v>
      </c>
      <c r="B68" s="19">
        <f t="shared" si="28"/>
        <v>6</v>
      </c>
      <c r="C68" s="12">
        <v>0.5</v>
      </c>
      <c r="D68" s="13" t="s">
        <v>9</v>
      </c>
      <c r="E68" s="24" t="s">
        <v>39</v>
      </c>
      <c r="F68" s="14"/>
    </row>
    <row r="69" spans="1:11" ht="30" x14ac:dyDescent="0.25">
      <c r="A69" s="7">
        <v>43137</v>
      </c>
      <c r="B69" s="19">
        <f t="shared" si="28"/>
        <v>6</v>
      </c>
      <c r="C69" s="12">
        <v>1</v>
      </c>
      <c r="D69" s="13" t="s">
        <v>6</v>
      </c>
      <c r="E69" s="24" t="s">
        <v>36</v>
      </c>
      <c r="F69" s="14"/>
    </row>
    <row r="70" spans="1:11" x14ac:dyDescent="0.25">
      <c r="A70" s="7">
        <v>43137</v>
      </c>
      <c r="B70" s="19">
        <f t="shared" si="28"/>
        <v>6</v>
      </c>
      <c r="C70" s="12">
        <v>0.5</v>
      </c>
      <c r="D70" s="13" t="s">
        <v>9</v>
      </c>
      <c r="E70" s="24" t="s">
        <v>35</v>
      </c>
      <c r="F70" s="14"/>
    </row>
    <row r="71" spans="1:11" x14ac:dyDescent="0.25">
      <c r="A71" s="7">
        <v>43137</v>
      </c>
      <c r="B71" s="19">
        <f t="shared" si="28"/>
        <v>6</v>
      </c>
      <c r="C71" s="12">
        <v>0.5</v>
      </c>
      <c r="D71" s="13" t="s">
        <v>7</v>
      </c>
      <c r="E71" s="24" t="s">
        <v>37</v>
      </c>
      <c r="F71" s="14"/>
    </row>
    <row r="72" spans="1:11" x14ac:dyDescent="0.25">
      <c r="A72" s="7">
        <v>43137</v>
      </c>
      <c r="B72" s="19">
        <f t="shared" si="28"/>
        <v>6</v>
      </c>
      <c r="C72" s="12">
        <v>0.75</v>
      </c>
      <c r="D72" s="13" t="s">
        <v>6</v>
      </c>
      <c r="E72" s="24" t="s">
        <v>38</v>
      </c>
      <c r="F72" s="14"/>
    </row>
    <row r="73" spans="1:11" x14ac:dyDescent="0.25">
      <c r="A73" s="7">
        <v>43137</v>
      </c>
      <c r="B73" s="19">
        <f t="shared" si="28"/>
        <v>6</v>
      </c>
      <c r="C73" s="12">
        <v>1</v>
      </c>
      <c r="D73" s="13" t="s">
        <v>7</v>
      </c>
      <c r="E73" s="24" t="s">
        <v>34</v>
      </c>
      <c r="F73" s="14"/>
    </row>
    <row r="74" spans="1:11" ht="15.75" x14ac:dyDescent="0.25">
      <c r="A74" s="7">
        <v>43137</v>
      </c>
      <c r="B74" s="19">
        <f t="shared" si="28"/>
        <v>6</v>
      </c>
      <c r="C74" s="12">
        <v>1</v>
      </c>
      <c r="D74" s="13" t="s">
        <v>6</v>
      </c>
      <c r="E74" s="24" t="s">
        <v>33</v>
      </c>
      <c r="F74" s="14"/>
      <c r="I74" s="28" t="s">
        <v>27</v>
      </c>
      <c r="J74" s="29"/>
      <c r="K74" s="29"/>
    </row>
    <row r="75" spans="1:11" ht="30" x14ac:dyDescent="0.25">
      <c r="A75" s="7">
        <v>43133</v>
      </c>
      <c r="B75" s="19">
        <f t="shared" si="28"/>
        <v>5</v>
      </c>
      <c r="C75" s="12">
        <v>1</v>
      </c>
      <c r="D75" s="13" t="s">
        <v>6</v>
      </c>
      <c r="E75" s="14" t="s">
        <v>25</v>
      </c>
      <c r="F75" s="14" t="s">
        <v>26</v>
      </c>
      <c r="I75" s="30" t="s">
        <v>28</v>
      </c>
      <c r="J75" s="31"/>
      <c r="K75" s="21">
        <v>0</v>
      </c>
    </row>
    <row r="76" spans="1:11" ht="30" x14ac:dyDescent="0.25">
      <c r="A76" s="7">
        <v>43133</v>
      </c>
      <c r="B76" s="19">
        <f t="shared" si="28"/>
        <v>5</v>
      </c>
      <c r="C76" s="12">
        <v>0.5</v>
      </c>
      <c r="D76" s="13" t="s">
        <v>6</v>
      </c>
      <c r="E76" s="14" t="s">
        <v>23</v>
      </c>
      <c r="F76" s="14" t="s">
        <v>24</v>
      </c>
      <c r="I76" s="32" t="s">
        <v>29</v>
      </c>
      <c r="J76" s="33"/>
      <c r="K76" s="22">
        <v>0.19444444444444445</v>
      </c>
    </row>
    <row r="77" spans="1:11" x14ac:dyDescent="0.25">
      <c r="A77" s="7">
        <v>43133</v>
      </c>
      <c r="B77" s="19">
        <f t="shared" si="28"/>
        <v>5</v>
      </c>
      <c r="C77" s="12">
        <v>1</v>
      </c>
      <c r="D77" s="13" t="s">
        <v>6</v>
      </c>
      <c r="E77" s="14" t="s">
        <v>21</v>
      </c>
      <c r="F77" s="14"/>
      <c r="I77" s="32" t="s">
        <v>30</v>
      </c>
      <c r="J77" s="33"/>
      <c r="K77" s="22">
        <v>0.10069444444444443</v>
      </c>
    </row>
    <row r="78" spans="1:11" ht="30" x14ac:dyDescent="0.25">
      <c r="A78" s="7">
        <v>43133</v>
      </c>
      <c r="B78" s="19">
        <f t="shared" si="28"/>
        <v>5</v>
      </c>
      <c r="C78" s="12">
        <v>0.5</v>
      </c>
      <c r="D78" s="13" t="s">
        <v>6</v>
      </c>
      <c r="E78" s="14" t="s">
        <v>20</v>
      </c>
      <c r="F78" s="14" t="s">
        <v>22</v>
      </c>
      <c r="I78" s="32" t="s">
        <v>31</v>
      </c>
      <c r="J78" s="33"/>
      <c r="K78" s="22">
        <v>0.13194444444444445</v>
      </c>
    </row>
    <row r="79" spans="1:11" ht="15.75" thickBot="1" x14ac:dyDescent="0.3">
      <c r="A79" s="7">
        <v>43133</v>
      </c>
      <c r="B79" s="19">
        <f t="shared" si="28"/>
        <v>5</v>
      </c>
      <c r="C79" s="12">
        <v>0.5</v>
      </c>
      <c r="D79" s="13" t="s">
        <v>6</v>
      </c>
      <c r="E79" s="14" t="s">
        <v>19</v>
      </c>
      <c r="F79" s="14"/>
      <c r="I79" s="26" t="s">
        <v>32</v>
      </c>
      <c r="J79" s="27"/>
      <c r="K79" s="23">
        <v>0.13194444444444445</v>
      </c>
    </row>
    <row r="80" spans="1:11" x14ac:dyDescent="0.25">
      <c r="A80" s="7">
        <v>43132</v>
      </c>
      <c r="B80" s="19">
        <f t="shared" si="28"/>
        <v>5</v>
      </c>
      <c r="C80" s="12">
        <v>1</v>
      </c>
      <c r="D80" s="13" t="s">
        <v>6</v>
      </c>
      <c r="E80" s="14" t="s">
        <v>17</v>
      </c>
      <c r="F80" s="14" t="s">
        <v>18</v>
      </c>
      <c r="I80" s="15"/>
    </row>
    <row r="81" spans="1:9" x14ac:dyDescent="0.25">
      <c r="A81" s="7">
        <v>43132</v>
      </c>
      <c r="B81" s="19">
        <f t="shared" si="28"/>
        <v>5</v>
      </c>
      <c r="C81" s="12">
        <v>0.5</v>
      </c>
      <c r="D81" s="13" t="s">
        <v>7</v>
      </c>
      <c r="E81" s="14" t="s">
        <v>16</v>
      </c>
      <c r="F81" s="14"/>
      <c r="I81" s="15"/>
    </row>
    <row r="82" spans="1:9" x14ac:dyDescent="0.25">
      <c r="A82" s="7">
        <v>43132</v>
      </c>
      <c r="B82" s="19">
        <f t="shared" si="28"/>
        <v>5</v>
      </c>
      <c r="C82" s="12">
        <v>0.5</v>
      </c>
      <c r="D82" s="13" t="s">
        <v>7</v>
      </c>
      <c r="E82" s="14" t="s">
        <v>15</v>
      </c>
      <c r="F82" s="14"/>
      <c r="I82" s="15"/>
    </row>
    <row r="83" spans="1:9" x14ac:dyDescent="0.25">
      <c r="A83" s="7">
        <v>43132</v>
      </c>
      <c r="B83" s="19">
        <f t="shared" si="28"/>
        <v>5</v>
      </c>
      <c r="C83" s="12">
        <v>1</v>
      </c>
      <c r="D83" s="13" t="s">
        <v>6</v>
      </c>
      <c r="E83" s="14" t="s">
        <v>14</v>
      </c>
      <c r="F83" s="14"/>
      <c r="I83" s="15"/>
    </row>
  </sheetData>
  <sheetProtection selectLockedCells="1"/>
  <mergeCells count="6">
    <mergeCell ref="I79:J79"/>
    <mergeCell ref="I74:K74"/>
    <mergeCell ref="I75:J75"/>
    <mergeCell ref="I76:J76"/>
    <mergeCell ref="I77:J77"/>
    <mergeCell ref="I78:J78"/>
  </mergeCells>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D2:D83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F21"/>
  <sheetViews>
    <sheetView workbookViewId="0">
      <selection activeCell="C18" sqref="C18"/>
    </sheetView>
  </sheetViews>
  <sheetFormatPr baseColWidth="10" defaultRowHeight="15" x14ac:dyDescent="0.25"/>
  <cols>
    <col min="1" max="1" width="19.85546875" bestFit="1" customWidth="1"/>
    <col min="2" max="2" width="14.7109375" bestFit="1" customWidth="1"/>
    <col min="3" max="3" width="15.42578125" bestFit="1" customWidth="1"/>
    <col min="4" max="4" width="8" bestFit="1" customWidth="1"/>
    <col min="5" max="5" width="5.5703125" bestFit="1" customWidth="1"/>
    <col min="6" max="6" width="12.57031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6" x14ac:dyDescent="0.25">
      <c r="A3" s="4" t="s">
        <v>13</v>
      </c>
    </row>
    <row r="4" spans="1:6" x14ac:dyDescent="0.25">
      <c r="B4" t="s">
        <v>9</v>
      </c>
      <c r="C4" t="s">
        <v>7</v>
      </c>
      <c r="D4" t="s">
        <v>6</v>
      </c>
      <c r="E4" t="s">
        <v>8</v>
      </c>
      <c r="F4" t="s">
        <v>11</v>
      </c>
    </row>
    <row r="5" spans="1:6" x14ac:dyDescent="0.25">
      <c r="A5" s="5">
        <v>43139</v>
      </c>
      <c r="B5" s="3"/>
      <c r="C5" s="3">
        <v>0.5</v>
      </c>
      <c r="D5" s="3">
        <v>2.5</v>
      </c>
      <c r="E5" s="3"/>
      <c r="F5" s="3">
        <v>3</v>
      </c>
    </row>
    <row r="6" spans="1:6" x14ac:dyDescent="0.25">
      <c r="A6" s="5">
        <v>43138</v>
      </c>
      <c r="B6" s="3">
        <v>0.5</v>
      </c>
      <c r="C6" s="3"/>
      <c r="D6" s="3">
        <v>0.5</v>
      </c>
      <c r="E6" s="3">
        <v>1.5</v>
      </c>
      <c r="F6" s="3">
        <v>2.5</v>
      </c>
    </row>
    <row r="7" spans="1:6" x14ac:dyDescent="0.25">
      <c r="A7" s="5">
        <v>43137</v>
      </c>
      <c r="B7" s="3">
        <v>0.5</v>
      </c>
      <c r="C7" s="3">
        <v>1.5</v>
      </c>
      <c r="D7" s="3">
        <v>2.75</v>
      </c>
      <c r="E7" s="3"/>
      <c r="F7" s="3">
        <v>4.75</v>
      </c>
    </row>
    <row r="8" spans="1:6" x14ac:dyDescent="0.25">
      <c r="A8" s="5">
        <v>43133</v>
      </c>
      <c r="B8" s="3"/>
      <c r="C8" s="3"/>
      <c r="D8" s="3">
        <v>3.5</v>
      </c>
      <c r="E8" s="3"/>
      <c r="F8" s="3">
        <v>3.5</v>
      </c>
    </row>
    <row r="9" spans="1:6" x14ac:dyDescent="0.25">
      <c r="A9" s="5">
        <v>43132</v>
      </c>
      <c r="B9" s="3"/>
      <c r="C9" s="3">
        <v>1</v>
      </c>
      <c r="D9" s="3">
        <v>2</v>
      </c>
      <c r="E9" s="3"/>
      <c r="F9" s="3">
        <v>3</v>
      </c>
    </row>
    <row r="10" spans="1:6" x14ac:dyDescent="0.25">
      <c r="A10" s="5">
        <v>43147</v>
      </c>
      <c r="B10" s="3">
        <v>1.3</v>
      </c>
      <c r="C10" s="3">
        <v>0.5</v>
      </c>
      <c r="D10" s="3">
        <v>0.5</v>
      </c>
      <c r="E10" s="3">
        <v>0.5</v>
      </c>
      <c r="F10" s="3">
        <v>2.8</v>
      </c>
    </row>
    <row r="11" spans="1:6" x14ac:dyDescent="0.25">
      <c r="A11" s="5">
        <v>43146</v>
      </c>
      <c r="B11" s="3">
        <v>0.7</v>
      </c>
      <c r="C11" s="3"/>
      <c r="D11" s="3">
        <v>2.2999999999999998</v>
      </c>
      <c r="E11" s="3"/>
      <c r="F11" s="3">
        <v>3</v>
      </c>
    </row>
    <row r="12" spans="1:6" x14ac:dyDescent="0.25">
      <c r="A12" s="5">
        <v>43145</v>
      </c>
      <c r="B12" s="3"/>
      <c r="C12" s="3"/>
      <c r="D12" s="3">
        <v>2.25</v>
      </c>
      <c r="E12" s="3"/>
      <c r="F12" s="3">
        <v>2.25</v>
      </c>
    </row>
    <row r="13" spans="1:6" x14ac:dyDescent="0.25">
      <c r="A13" s="5">
        <v>43144</v>
      </c>
      <c r="B13" s="3">
        <v>1.05</v>
      </c>
      <c r="C13" s="3">
        <v>2</v>
      </c>
      <c r="D13" s="3">
        <v>1.1000000000000001</v>
      </c>
      <c r="E13" s="3"/>
      <c r="F13" s="3">
        <v>4.1500000000000004</v>
      </c>
    </row>
    <row r="14" spans="1:6" x14ac:dyDescent="0.25">
      <c r="A14" s="5">
        <v>43140</v>
      </c>
      <c r="B14" s="3">
        <v>0.5</v>
      </c>
      <c r="C14" s="3">
        <v>0.5</v>
      </c>
      <c r="D14" s="3">
        <v>2</v>
      </c>
      <c r="E14" s="3"/>
      <c r="F14" s="3">
        <v>3</v>
      </c>
    </row>
    <row r="15" spans="1:6" x14ac:dyDescent="0.25">
      <c r="A15" s="5">
        <v>43158</v>
      </c>
      <c r="B15" s="3">
        <v>3.9</v>
      </c>
      <c r="C15" s="3">
        <v>0.1</v>
      </c>
      <c r="D15" s="3">
        <v>1.2</v>
      </c>
      <c r="E15" s="3"/>
      <c r="F15" s="3">
        <v>5.2</v>
      </c>
    </row>
    <row r="16" spans="1:6" x14ac:dyDescent="0.25">
      <c r="A16" s="5">
        <v>43159</v>
      </c>
      <c r="B16" s="3"/>
      <c r="C16" s="3">
        <v>1.65</v>
      </c>
      <c r="D16" s="3"/>
      <c r="E16" s="3"/>
      <c r="F16" s="3">
        <v>1.65</v>
      </c>
    </row>
    <row r="17" spans="1:6" x14ac:dyDescent="0.25">
      <c r="A17" s="5">
        <v>43161</v>
      </c>
      <c r="B17" s="3">
        <v>2.2999999999999998</v>
      </c>
      <c r="C17" s="3">
        <v>0.7</v>
      </c>
      <c r="D17" s="3"/>
      <c r="E17" s="3"/>
      <c r="F17" s="3">
        <v>3</v>
      </c>
    </row>
    <row r="18" spans="1:6" x14ac:dyDescent="0.25">
      <c r="A18" s="5">
        <v>43160</v>
      </c>
      <c r="B18" s="3">
        <v>3.15</v>
      </c>
      <c r="C18" s="3"/>
      <c r="D18" s="3"/>
      <c r="E18" s="3"/>
      <c r="F18" s="3">
        <v>3.15</v>
      </c>
    </row>
    <row r="19" spans="1:6" x14ac:dyDescent="0.25">
      <c r="A19" s="5">
        <v>43166</v>
      </c>
      <c r="B19" s="3">
        <v>0.75</v>
      </c>
      <c r="C19" s="3"/>
      <c r="D19" s="3"/>
      <c r="E19" s="3"/>
      <c r="F19" s="3">
        <v>0.75</v>
      </c>
    </row>
    <row r="20" spans="1:6" x14ac:dyDescent="0.25">
      <c r="A20" s="5">
        <v>43165</v>
      </c>
      <c r="B20" s="3">
        <v>0.75</v>
      </c>
      <c r="C20" s="3">
        <v>3.75</v>
      </c>
      <c r="D20" s="3"/>
      <c r="E20" s="3"/>
      <c r="F20" s="3">
        <v>4.5</v>
      </c>
    </row>
    <row r="21" spans="1:6" x14ac:dyDescent="0.25">
      <c r="A21" s="5" t="s">
        <v>11</v>
      </c>
      <c r="B21" s="3">
        <v>15.4</v>
      </c>
      <c r="C21" s="3">
        <v>12.2</v>
      </c>
      <c r="D21" s="3">
        <v>20.6</v>
      </c>
      <c r="E21" s="3">
        <v>2</v>
      </c>
      <c r="F21" s="3">
        <v>50.2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2018-03-15T14:26:30Z</dcterms:modified>
</cp:coreProperties>
</file>