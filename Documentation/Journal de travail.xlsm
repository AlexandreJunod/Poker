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calcPr calcId="162913"/>
  <pivotCaches>
    <pivotCache cacheId="16"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2" i="1" l="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l="1"/>
  <c r="B49" i="1"/>
  <c r="B50" i="1"/>
  <c r="B51" i="1"/>
  <c r="B52" i="1"/>
  <c r="B53" i="1"/>
  <c r="B54" i="1"/>
</calcChain>
</file>

<file path=xl/sharedStrings.xml><?xml version="1.0" encoding="utf-8"?>
<sst xmlns="http://schemas.openxmlformats.org/spreadsheetml/2006/main" count="140" uniqueCount="81">
  <si>
    <t>Description</t>
  </si>
  <si>
    <t>Remarques/problèmes</t>
  </si>
  <si>
    <t>Jour</t>
  </si>
  <si>
    <t>Temps [h]</t>
  </si>
  <si>
    <t>Type</t>
  </si>
  <si>
    <t>Types de tâches</t>
  </si>
  <si>
    <t>Analyse</t>
  </si>
  <si>
    <t>Implémentation</t>
  </si>
  <si>
    <t>Tests</t>
  </si>
  <si>
    <t>Documentation</t>
  </si>
  <si>
    <t>Absence</t>
  </si>
  <si>
    <t>Total général</t>
  </si>
  <si>
    <t>Semaine</t>
  </si>
  <si>
    <t>Somme de Temps [h]</t>
  </si>
  <si>
    <t>Discuter des projet pré-TPI et attribution des cahiers des charges</t>
  </si>
  <si>
    <t>Installation des différents logiciels nécessaires pour mon pré-TPI</t>
  </si>
  <si>
    <t>Recherches de logiciels utiles pour du developpement web et installation</t>
  </si>
  <si>
    <t>Planification (Gantt)</t>
  </si>
  <si>
    <t>Il ne sera jamais utilisé, car une méthode agile à été imposée par la suite</t>
  </si>
  <si>
    <t>Chercher de jeux de cartes, afin de savoir comment faire la maquette plus tard</t>
  </si>
  <si>
    <t>Recherche de languages alternatifs a JS/Flash</t>
  </si>
  <si>
    <t>Rechercher sur Youtube ce qu'on peut faire sur du CSS3/SVG/HTML en rapport avec le poker</t>
  </si>
  <si>
    <t>J'évite ces languages car ils vont disparaître par le futur, je vais donc utiliser un maximum de CSS3 et SVG</t>
  </si>
  <si>
    <t xml:space="preserve">Rechercher et tester des logiciels pour faire du CSS3 en direct sur navigateur, j'ai trouvé "Codepen" et "Kodhus", après un test j'ai préférer codepen car il est personnalisable </t>
  </si>
  <si>
    <t>Je fait mes tests lors du pré-TPI afin de gagner du temps au TPI, je n'aurais peut-être jamais le temps de faire des animations pour le poker</t>
  </si>
  <si>
    <t>Revoir le cahier des charges et m'informer sur le déroulement d'une partie, comprendre les big blind et les small blind</t>
  </si>
  <si>
    <t>J'ai eu plusieurs explications différentes qui voulaient dire la même chose, mais qui m'ont enduites en erreures parce qu'elles utilisaient un therme différent</t>
  </si>
  <si>
    <t>Temps de travail</t>
  </si>
  <si>
    <t>Lundi</t>
  </si>
  <si>
    <t>Mardi</t>
  </si>
  <si>
    <t>Mercredi</t>
  </si>
  <si>
    <t>Jeudi</t>
  </si>
  <si>
    <t>Vendredi</t>
  </si>
  <si>
    <t>Faire les premier uses cases et scénarios</t>
  </si>
  <si>
    <t>Création/installation du Trello et GitHub et recherches d'informations sur ces logiciels</t>
  </si>
  <si>
    <t>Adapter le Trello comme demandé par le chef de projet</t>
  </si>
  <si>
    <t xml:space="preserve">Retoucher mes uses cases car ils ne correspondaient plus a la vision que j'avais du Texas Hold'em </t>
  </si>
  <si>
    <t>Mettre en place le GitHub</t>
  </si>
  <si>
    <t>Regarder avec mon chef de projet le fonctionnement de Gitub</t>
  </si>
  <si>
    <t>Envoyer le github et le Trello au chef de projet, et implémenter les sprint suite a son retour</t>
  </si>
  <si>
    <t>Tester en CSS3 des effets de distribution de carte et selection de carte animés, en regardant un tutoriel sur Youtube</t>
  </si>
  <si>
    <t>Tester des alternatives à GitHub. J'ai une préférence pour GitHub, du moins en projet tout seul</t>
  </si>
  <si>
    <t>Problème avec Word, mes tableaux s'empillent, j'ai donc refait les tableaux et recopié les uses cases, j'ai également modifier ceux que je n'avais pas terminé hier</t>
  </si>
  <si>
    <t>Rechercher une vidéo expliquative afin de faire un UML, c'est en regardant cette vidéo que j'ai compris que mes uses cases étaient faux</t>
  </si>
  <si>
    <t>Refaire les uses cases selon la vidéo trouvée sur internet</t>
  </si>
  <si>
    <t>Réfléchir et rechercher des informations a propos du jeux en temps réel sur une page web</t>
  </si>
  <si>
    <t>Le plus dur étaient de faire étape par étape, savoir quels tours j'allait montré et comment séparer les différents cas, j'ai donc du regarder plusieurs fois la vidéo de suite afin d'être câpable de suivre</t>
  </si>
  <si>
    <t>Je ne sais pas encore comment faire pour gérer plusieurs personnes, faire en sorte qu'ils prennent une place au tour d'une table et puisse avoir une vue en rapport de celui qui joue</t>
  </si>
  <si>
    <t>Suite des recherches de jeudi</t>
  </si>
  <si>
    <t>Corriger et discuter des mes uses cases avec le chef de projet</t>
  </si>
  <si>
    <t>Création du journal de bord</t>
  </si>
  <si>
    <t>Commencer a changer les uses cases selon ce qui à été discuté avec le chef de projet</t>
  </si>
  <si>
    <t>Remplir le journal de bord du 01.02.2018 au 13.02.2018</t>
  </si>
  <si>
    <t>Créer les différentes divs nécessaires et le css dans (style.css) afin d'avoir la mise en forme de la page de connexion (index.php) et d'inscription (NewAccount.php)</t>
  </si>
  <si>
    <t>Difficulté a centrer des élèments qui se trouvent déjà dans des divs, plusieurs façons de faire ne fonctionnaient pas. J'ai du le faire a l'aide de margin et de padding, ce qui influence les divs qui se trouve dans ces divs, j'ai donc après du changé des valeurs jusqu'à avoir le résultat attendu</t>
  </si>
  <si>
    <t>Créer les phrases qui reprennent le déroulement d'une partie, du début à la fin</t>
  </si>
  <si>
    <t>Voir avec le chef de projet les uses cases et parler de l'analyse des différents etats dans les quels se trouvent les joueurs</t>
  </si>
  <si>
    <t>Il a été décider de prendre la vidéo trouvée sur youtube au lieu de refaire les uses cases pour les différentes mains et actions possibles</t>
  </si>
  <si>
    <t xml:space="preserve">Changer quelques details dans les uses cases et faire les maquêtes </t>
  </si>
  <si>
    <t>Corriger les uses cases avec le chef de projet, regarder avec le chef de projet l'UML qu'il ma fournit afin de voir les différents états d'une main</t>
  </si>
  <si>
    <t>Refaire les phrases qui décrivent une partie, car ce que j'ai fait ne reprennait pas tous les cas</t>
  </si>
  <si>
    <t>Recherches sur internet des informations sur l'ajax afin de savoir si je peux optimiser facilement un code fini, ou s'il vaut mieux directement faire de l'ajax</t>
  </si>
  <si>
    <t>Test d'ajax</t>
  </si>
  <si>
    <t>J'ai rapidement abandonné, car je n'avais pas le résultat voulu et je ne voulais pas perdre trop de temps</t>
  </si>
  <si>
    <t>Modifier les noms des plans et quelques details dans les uses cases</t>
  </si>
  <si>
    <t>Aider un autre élève, sa page ne s'affichait plus, peut importe les modifications qui lui étaient apportées. C'était un problème de cache (et d'une condition)</t>
  </si>
  <si>
    <t>Recherches sur la manière de se connecter à plusieurs sur une seule page, afin que chaque personne puisse voir ce qu'une autre personne fait. Tester sur des éditeurs tels de codepen et kodhus)</t>
  </si>
  <si>
    <t>Lecture des retours fait par mail, du chef de projet. Relire d'anciens mails afin de voir ce qui avait été oublié et ce qu'il me restait a faire</t>
  </si>
  <si>
    <t>Revoir les docs du ICT-431, il revient plusieurs fois dans les mails envoyés</t>
  </si>
  <si>
    <t>Modifier le trello et penser aux sprints qui seront possibles</t>
  </si>
  <si>
    <t>Voir avec le chef de projet les retours, ce qui doit être fait, ce qui reste a faire et discuter de la meilleure manière de réaliser mon code par le futur</t>
  </si>
  <si>
    <t>Rajouter quelques plans dans les maquettes et changer quelques details dans les uses cases</t>
  </si>
  <si>
    <t>Aider un autre élève, son get fonctionnait que dans 1 des 2 cas, pourtant le code était le même</t>
  </si>
  <si>
    <t>Création de la documentation finale "Poker online.docx"</t>
  </si>
  <si>
    <t>Remplir une petite partie du journal de bord</t>
  </si>
  <si>
    <t>Terminer de remplir le journal de bord</t>
  </si>
  <si>
    <t>Création du système de connexion et base de donnée</t>
  </si>
  <si>
    <t>Documenter mon fichier "Poker online.docx"</t>
  </si>
  <si>
    <t>Terminer la documentation du fichier "Poker online.docx"</t>
  </si>
  <si>
    <t>Ajout du "démo" sur trello</t>
  </si>
  <si>
    <t>Changement de journal de bord, j'ai repris celui donner par le chef de projet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</si>
</sst>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x14ac:knownFonts="1">
    <font>
      <sz val="11"/>
      <color theme="1"/>
      <name val="Calibri"/>
      <family val="2"/>
      <scheme val="minor"/>
    </font>
    <font>
      <b/>
      <sz val="12"/>
      <color theme="1"/>
      <name val="Calibri"/>
      <family val="2"/>
      <scheme val="minor"/>
    </font>
    <font>
      <b/>
      <u/>
      <sz val="11"/>
      <color theme="1"/>
      <name val="Calibri"/>
      <family val="2"/>
      <scheme val="minor"/>
    </font>
    <font>
      <sz val="12"/>
      <color rgb="FF000000"/>
      <name val="Helvetica"/>
    </font>
    <font>
      <b/>
      <sz val="12"/>
      <color theme="0"/>
      <name val="Calibri"/>
      <family val="2"/>
      <scheme val="minor"/>
    </font>
  </fonts>
  <fills count="4">
    <fill>
      <patternFill patternType="none"/>
    </fill>
    <fill>
      <patternFill patternType="gray125"/>
    </fill>
    <fill>
      <patternFill patternType="solid">
        <fgColor theme="0" tint="-0.14999847407452621"/>
        <bgColor indexed="64"/>
      </patternFill>
    </fill>
    <fill>
      <patternFill patternType="solid">
        <fgColor theme="1"/>
        <bgColor indexed="64"/>
      </patternFill>
    </fill>
  </fills>
  <borders count="10">
    <border>
      <left/>
      <right/>
      <top/>
      <bottom/>
      <diagonal/>
    </border>
    <border>
      <left style="thin">
        <color auto="1"/>
      </left>
      <right style="thin">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s>
  <cellStyleXfs count="1">
    <xf numFmtId="0" fontId="0" fillId="0" borderId="0"/>
  </cellStyleXfs>
  <cellXfs count="34">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3" borderId="2" xfId="0" applyFont="1" applyFill="1" applyBorder="1" applyAlignment="1">
      <alignment horizontal="center"/>
    </xf>
    <xf numFmtId="0" fontId="4" fillId="3" borderId="1" xfId="0" applyFont="1" applyFill="1" applyBorder="1" applyAlignment="1">
      <alignment horizontal="center"/>
    </xf>
    <xf numFmtId="0" fontId="0" fillId="0" borderId="3" xfId="0" applyBorder="1" applyAlignment="1">
      <alignment horizontal="center" vertical="center"/>
    </xf>
    <xf numFmtId="0" fontId="0" fillId="0" borderId="4" xfId="0" applyBorder="1" applyAlignment="1">
      <alignment horizontal="center" vertical="center"/>
    </xf>
    <xf numFmtId="20" fontId="0" fillId="0" borderId="5" xfId="0" applyNumberFormat="1" applyBorder="1" applyAlignment="1">
      <alignment horizontal="center" vertical="center"/>
    </xf>
    <xf numFmtId="0" fontId="0" fillId="0" borderId="2" xfId="0" applyBorder="1" applyAlignment="1">
      <alignment horizontal="center" vertical="center"/>
    </xf>
    <xf numFmtId="0" fontId="0" fillId="0" borderId="1" xfId="0" applyBorder="1" applyAlignment="1">
      <alignment horizontal="center" vertical="center"/>
    </xf>
    <xf numFmtId="20" fontId="0" fillId="0" borderId="6" xfId="0" applyNumberFormat="1"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20" fontId="0" fillId="0" borderId="9" xfId="0" applyNumberFormat="1" applyBorder="1" applyAlignment="1">
      <alignment horizontal="center" vertical="center"/>
    </xf>
    <xf numFmtId="0" fontId="0" fillId="0" borderId="1" xfId="0" applyBorder="1" applyAlignment="1">
      <alignment horizontal="left" vertical="center" wrapText="1"/>
    </xf>
    <xf numFmtId="0" fontId="0" fillId="0" borderId="6" xfId="0" applyBorder="1" applyAlignment="1">
      <alignment horizontal="left"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47625</xdr:colOff>
          <xdr:row>0</xdr:row>
          <xdr:rowOff>28575</xdr:rowOff>
        </xdr:from>
        <xdr:to>
          <xdr:col>4</xdr:col>
          <xdr:colOff>333375</xdr:colOff>
          <xdr:row>0</xdr:row>
          <xdr:rowOff>276225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61.589574999998" createdVersion="4" refreshedVersion="6" minRefreshableVersion="3" recordCount="50">
  <cacheSource type="worksheet">
    <worksheetSource ref="A1:D54" sheet="Journal"/>
  </cacheSource>
  <cacheFields count="4">
    <cacheField name="Jour" numFmtId="16">
      <sharedItems containsSemiMixedTypes="0" containsNonDate="0" containsDate="1" containsString="0" minDate="2018-01-01T00:00:00" maxDate="2018-03-01T00:00:00" count="13">
        <d v="2018-02-01T00:00:00"/>
        <d v="2018-02-28T00:00:00"/>
        <d v="2018-02-27T00:00:00"/>
        <d v="2018-02-16T00:00:00"/>
        <d v="2018-02-15T00:00:00"/>
        <d v="2018-02-14T00:00:00"/>
        <d v="2018-02-13T00:00:00"/>
        <d v="2018-02-09T00:00:00"/>
        <d v="2018-02-08T00:00:00"/>
        <d v="2018-02-07T00:00:00"/>
        <d v="2018-02-06T00:00:00"/>
        <d v="2018-02-02T00:00:00"/>
        <d v="2018-01-01T00:00:00" u="1"/>
      </sharedItems>
    </cacheField>
    <cacheField name="Semaine" numFmtId="1">
      <sharedItems containsSemiMixedTypes="0" containsString="0" containsNumber="1" containsInteger="1" minValue="5" maxValue="9"/>
    </cacheField>
    <cacheField name="Temps [h]" numFmtId="2">
      <sharedItems containsSemiMixedTypes="0" containsString="0" containsNumber="1" minValue="0" maxValue="2"/>
    </cacheField>
    <cacheField name="Type" numFmtId="0">
      <sharedItems count="4">
        <s v="Documentation"/>
        <s v="Implémentation"/>
        <s v="Analyse"/>
        <s v="Tests"/>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0">
  <r>
    <x v="0"/>
    <n v="5"/>
    <n v="0"/>
    <x v="0"/>
  </r>
  <r>
    <x v="0"/>
    <n v="5"/>
    <n v="0"/>
    <x v="0"/>
  </r>
  <r>
    <x v="1"/>
    <n v="9"/>
    <n v="1.65"/>
    <x v="1"/>
  </r>
  <r>
    <x v="2"/>
    <n v="9"/>
    <n v="0.75"/>
    <x v="0"/>
  </r>
  <r>
    <x v="2"/>
    <n v="9"/>
    <n v="0.5"/>
    <x v="0"/>
  </r>
  <r>
    <x v="2"/>
    <n v="9"/>
    <n v="1"/>
    <x v="0"/>
  </r>
  <r>
    <x v="2"/>
    <n v="9"/>
    <n v="0.1"/>
    <x v="1"/>
  </r>
  <r>
    <x v="2"/>
    <n v="9"/>
    <n v="0.35"/>
    <x v="2"/>
  </r>
  <r>
    <x v="2"/>
    <n v="9"/>
    <n v="0.5"/>
    <x v="2"/>
  </r>
  <r>
    <x v="2"/>
    <n v="9"/>
    <n v="0.65"/>
    <x v="0"/>
  </r>
  <r>
    <x v="2"/>
    <n v="9"/>
    <n v="0.35"/>
    <x v="2"/>
  </r>
  <r>
    <x v="2"/>
    <n v="9"/>
    <n v="1"/>
    <x v="0"/>
  </r>
  <r>
    <x v="3"/>
    <n v="7"/>
    <n v="1.3"/>
    <x v="0"/>
  </r>
  <r>
    <x v="3"/>
    <n v="7"/>
    <n v="0.5"/>
    <x v="1"/>
  </r>
  <r>
    <x v="3"/>
    <n v="7"/>
    <n v="0.5"/>
    <x v="2"/>
  </r>
  <r>
    <x v="3"/>
    <n v="7"/>
    <n v="0.5"/>
    <x v="3"/>
  </r>
  <r>
    <x v="4"/>
    <n v="7"/>
    <n v="0.7"/>
    <x v="0"/>
  </r>
  <r>
    <x v="4"/>
    <n v="7"/>
    <n v="1.3"/>
    <x v="2"/>
  </r>
  <r>
    <x v="4"/>
    <n v="7"/>
    <n v="1"/>
    <x v="2"/>
  </r>
  <r>
    <x v="5"/>
    <n v="7"/>
    <n v="1.5"/>
    <x v="2"/>
  </r>
  <r>
    <x v="5"/>
    <n v="7"/>
    <n v="0.75"/>
    <x v="2"/>
  </r>
  <r>
    <x v="6"/>
    <n v="7"/>
    <n v="1.1000000000000001"/>
    <x v="2"/>
  </r>
  <r>
    <x v="6"/>
    <n v="7"/>
    <n v="2"/>
    <x v="1"/>
  </r>
  <r>
    <x v="6"/>
    <n v="7"/>
    <n v="1.05"/>
    <x v="0"/>
  </r>
  <r>
    <x v="7"/>
    <n v="6"/>
    <n v="1"/>
    <x v="2"/>
  </r>
  <r>
    <x v="7"/>
    <n v="6"/>
    <n v="0.5"/>
    <x v="0"/>
  </r>
  <r>
    <x v="7"/>
    <n v="6"/>
    <n v="1"/>
    <x v="2"/>
  </r>
  <r>
    <x v="7"/>
    <n v="6"/>
    <n v="0.5"/>
    <x v="1"/>
  </r>
  <r>
    <x v="8"/>
    <n v="6"/>
    <n v="0.5"/>
    <x v="1"/>
  </r>
  <r>
    <x v="8"/>
    <n v="6"/>
    <n v="2"/>
    <x v="2"/>
  </r>
  <r>
    <x v="8"/>
    <n v="6"/>
    <n v="0.5"/>
    <x v="2"/>
  </r>
  <r>
    <x v="9"/>
    <n v="6"/>
    <n v="0.5"/>
    <x v="2"/>
  </r>
  <r>
    <x v="9"/>
    <n v="6"/>
    <n v="0.5"/>
    <x v="3"/>
  </r>
  <r>
    <x v="9"/>
    <n v="6"/>
    <n v="1"/>
    <x v="3"/>
  </r>
  <r>
    <x v="9"/>
    <n v="6"/>
    <n v="0.5"/>
    <x v="0"/>
  </r>
  <r>
    <x v="10"/>
    <n v="6"/>
    <n v="1"/>
    <x v="2"/>
  </r>
  <r>
    <x v="10"/>
    <n v="6"/>
    <n v="0.5"/>
    <x v="0"/>
  </r>
  <r>
    <x v="10"/>
    <n v="6"/>
    <n v="0.5"/>
    <x v="1"/>
  </r>
  <r>
    <x v="10"/>
    <n v="6"/>
    <n v="0.75"/>
    <x v="2"/>
  </r>
  <r>
    <x v="10"/>
    <n v="6"/>
    <n v="1"/>
    <x v="1"/>
  </r>
  <r>
    <x v="10"/>
    <n v="6"/>
    <n v="1"/>
    <x v="2"/>
  </r>
  <r>
    <x v="11"/>
    <n v="5"/>
    <n v="1"/>
    <x v="2"/>
  </r>
  <r>
    <x v="11"/>
    <n v="5"/>
    <n v="0.5"/>
    <x v="2"/>
  </r>
  <r>
    <x v="11"/>
    <n v="5"/>
    <n v="1"/>
    <x v="2"/>
  </r>
  <r>
    <x v="11"/>
    <n v="5"/>
    <n v="0.5"/>
    <x v="2"/>
  </r>
  <r>
    <x v="11"/>
    <n v="5"/>
    <n v="0.5"/>
    <x v="2"/>
  </r>
  <r>
    <x v="0"/>
    <n v="5"/>
    <n v="1"/>
    <x v="2"/>
  </r>
  <r>
    <x v="0"/>
    <n v="5"/>
    <n v="0.5"/>
    <x v="1"/>
  </r>
  <r>
    <x v="0"/>
    <n v="5"/>
    <n v="0.5"/>
    <x v="1"/>
  </r>
  <r>
    <x v="0"/>
    <n v="5"/>
    <n v="1"/>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16"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F17" firstHeaderRow="1" firstDataRow="2" firstDataCol="1"/>
  <pivotFields count="4">
    <pivotField axis="axisRow" numFmtId="16" showAll="0">
      <items count="14">
        <item m="1" x="12"/>
        <item x="8"/>
        <item x="9"/>
        <item x="10"/>
        <item x="11"/>
        <item x="0"/>
        <item x="3"/>
        <item x="4"/>
        <item x="5"/>
        <item x="6"/>
        <item x="7"/>
        <item x="2"/>
        <item x="1"/>
        <item t="default"/>
      </items>
    </pivotField>
    <pivotField showAll="0"/>
    <pivotField dataField="1" showAll="0"/>
    <pivotField axis="axisCol" showAll="0">
      <items count="5">
        <item x="0"/>
        <item x="1"/>
        <item x="2"/>
        <item x="3"/>
        <item t="default"/>
      </items>
    </pivotField>
  </pivotFields>
  <rowFields count="1">
    <field x="0"/>
  </rowFields>
  <rowItems count="13">
    <i>
      <x v="1"/>
    </i>
    <i>
      <x v="2"/>
    </i>
    <i>
      <x v="3"/>
    </i>
    <i>
      <x v="4"/>
    </i>
    <i>
      <x v="5"/>
    </i>
    <i>
      <x v="6"/>
    </i>
    <i>
      <x v="7"/>
    </i>
    <i>
      <x v="8"/>
    </i>
    <i>
      <x v="9"/>
    </i>
    <i>
      <x v="10"/>
    </i>
    <i>
      <x v="11"/>
    </i>
    <i>
      <x v="12"/>
    </i>
    <i t="grand">
      <x/>
    </i>
  </rowItems>
  <colFields count="1">
    <field x="3"/>
  </colFields>
  <colItems count="5">
    <i>
      <x/>
    </i>
    <i>
      <x v="1"/>
    </i>
    <i>
      <x v="2"/>
    </i>
    <i>
      <x v="3"/>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dimension ref="A1:K54"/>
  <sheetViews>
    <sheetView tabSelected="1" workbookViewId="0">
      <selection activeCell="E7" sqref="E7"/>
    </sheetView>
  </sheetViews>
  <sheetFormatPr baseColWidth="10" defaultColWidth="9.140625" defaultRowHeight="15" x14ac:dyDescent="0.25"/>
  <cols>
    <col min="1" max="1" width="7.85546875" style="8" bestFit="1" customWidth="1"/>
    <col min="2" max="2" width="8.140625" style="20" bestFit="1" customWidth="1"/>
    <col min="3" max="3" width="10.7109375" style="16" customWidth="1"/>
    <col min="4" max="4" width="15.42578125" style="8" bestFit="1" customWidth="1"/>
    <col min="5" max="5" width="84.85546875" style="17" bestFit="1" customWidth="1"/>
    <col min="6" max="6" width="75.140625" style="17" customWidth="1"/>
    <col min="7" max="16384" width="9.140625" style="11"/>
  </cols>
  <sheetData>
    <row r="1" spans="1:6" ht="24" customHeight="1" x14ac:dyDescent="0.25">
      <c r="A1" s="6" t="s">
        <v>2</v>
      </c>
      <c r="B1" s="18" t="s">
        <v>12</v>
      </c>
      <c r="C1" s="9" t="s">
        <v>3</v>
      </c>
      <c r="D1" s="6" t="s">
        <v>4</v>
      </c>
      <c r="E1" s="10" t="s">
        <v>0</v>
      </c>
      <c r="F1" s="10" t="s">
        <v>1</v>
      </c>
    </row>
    <row r="2" spans="1:6" x14ac:dyDescent="0.25">
      <c r="A2" s="7">
        <v>43161</v>
      </c>
      <c r="B2" s="19">
        <f t="shared" ref="B2:B54" si="0">WEEKNUM(A2)</f>
        <v>9</v>
      </c>
      <c r="C2" s="12">
        <v>0</v>
      </c>
      <c r="D2" s="13" t="s">
        <v>9</v>
      </c>
      <c r="E2" s="32"/>
      <c r="F2" s="14"/>
    </row>
    <row r="3" spans="1:6" x14ac:dyDescent="0.25">
      <c r="A3" s="7">
        <v>43161</v>
      </c>
      <c r="B3" s="19">
        <f t="shared" si="0"/>
        <v>9</v>
      </c>
      <c r="C3" s="12">
        <v>1.7</v>
      </c>
      <c r="D3" s="13" t="s">
        <v>9</v>
      </c>
      <c r="E3" s="32" t="s">
        <v>80</v>
      </c>
      <c r="F3" s="14"/>
    </row>
    <row r="4" spans="1:6" x14ac:dyDescent="0.25">
      <c r="A4" s="7">
        <v>43161</v>
      </c>
      <c r="B4" s="19">
        <f t="shared" si="0"/>
        <v>9</v>
      </c>
      <c r="C4" s="12">
        <v>0.3</v>
      </c>
      <c r="D4" s="13" t="s">
        <v>9</v>
      </c>
      <c r="E4" s="32" t="s">
        <v>79</v>
      </c>
      <c r="F4" s="14"/>
    </row>
    <row r="5" spans="1:6" x14ac:dyDescent="0.25">
      <c r="A5" s="7">
        <v>43161</v>
      </c>
      <c r="B5" s="19">
        <f t="shared" si="0"/>
        <v>9</v>
      </c>
      <c r="C5" s="12">
        <v>1</v>
      </c>
      <c r="D5" s="13" t="s">
        <v>9</v>
      </c>
      <c r="E5" s="32" t="s">
        <v>78</v>
      </c>
      <c r="F5" s="14"/>
    </row>
    <row r="6" spans="1:6" x14ac:dyDescent="0.25">
      <c r="A6" s="7">
        <v>43160</v>
      </c>
      <c r="B6" s="19">
        <f t="shared" si="0"/>
        <v>9</v>
      </c>
      <c r="C6" s="12">
        <v>3.15</v>
      </c>
      <c r="D6" s="13" t="s">
        <v>9</v>
      </c>
      <c r="E6" s="32" t="s">
        <v>77</v>
      </c>
      <c r="F6" s="14"/>
    </row>
    <row r="7" spans="1:6" x14ac:dyDescent="0.25">
      <c r="A7" s="7">
        <v>43159</v>
      </c>
      <c r="B7" s="19">
        <f t="shared" si="0"/>
        <v>9</v>
      </c>
      <c r="C7" s="12">
        <v>1.65</v>
      </c>
      <c r="D7" s="13" t="s">
        <v>7</v>
      </c>
      <c r="E7" s="32" t="s">
        <v>76</v>
      </c>
      <c r="F7" s="14"/>
    </row>
    <row r="8" spans="1:6" x14ac:dyDescent="0.25">
      <c r="A8" s="7">
        <v>43158</v>
      </c>
      <c r="B8" s="19">
        <f t="shared" si="0"/>
        <v>9</v>
      </c>
      <c r="C8" s="12">
        <v>0.75</v>
      </c>
      <c r="D8" s="13" t="s">
        <v>9</v>
      </c>
      <c r="E8" s="32" t="s">
        <v>75</v>
      </c>
      <c r="F8" s="14"/>
    </row>
    <row r="9" spans="1:6" x14ac:dyDescent="0.25">
      <c r="A9" s="7">
        <v>43158</v>
      </c>
      <c r="B9" s="19">
        <f t="shared" si="0"/>
        <v>9</v>
      </c>
      <c r="C9" s="12">
        <v>0.5</v>
      </c>
      <c r="D9" s="13" t="s">
        <v>9</v>
      </c>
      <c r="E9" s="32" t="s">
        <v>74</v>
      </c>
      <c r="F9" s="14"/>
    </row>
    <row r="10" spans="1:6" x14ac:dyDescent="0.25">
      <c r="A10" s="7">
        <v>43158</v>
      </c>
      <c r="B10" s="19">
        <f t="shared" si="0"/>
        <v>9</v>
      </c>
      <c r="C10" s="12">
        <v>1</v>
      </c>
      <c r="D10" s="13" t="s">
        <v>9</v>
      </c>
      <c r="E10" s="32" t="s">
        <v>73</v>
      </c>
      <c r="F10" s="14"/>
    </row>
    <row r="11" spans="1:6" ht="30" x14ac:dyDescent="0.25">
      <c r="A11" s="7">
        <v>43158</v>
      </c>
      <c r="B11" s="19">
        <f t="shared" si="0"/>
        <v>9</v>
      </c>
      <c r="C11" s="12">
        <v>0.1</v>
      </c>
      <c r="D11" s="13" t="s">
        <v>7</v>
      </c>
      <c r="E11" s="32" t="s">
        <v>72</v>
      </c>
      <c r="F11" s="14"/>
    </row>
    <row r="12" spans="1:6" x14ac:dyDescent="0.25">
      <c r="A12" s="7">
        <v>43158</v>
      </c>
      <c r="B12" s="19">
        <f t="shared" si="0"/>
        <v>9</v>
      </c>
      <c r="C12" s="12">
        <v>0.35</v>
      </c>
      <c r="D12" s="13" t="s">
        <v>6</v>
      </c>
      <c r="E12" s="32" t="s">
        <v>71</v>
      </c>
      <c r="F12" s="14"/>
    </row>
    <row r="13" spans="1:6" ht="30" x14ac:dyDescent="0.25">
      <c r="A13" s="7">
        <v>43158</v>
      </c>
      <c r="B13" s="19">
        <f t="shared" si="0"/>
        <v>9</v>
      </c>
      <c r="C13" s="12">
        <v>0.5</v>
      </c>
      <c r="D13" s="13" t="s">
        <v>6</v>
      </c>
      <c r="E13" s="32" t="s">
        <v>70</v>
      </c>
      <c r="F13" s="14"/>
    </row>
    <row r="14" spans="1:6" x14ac:dyDescent="0.25">
      <c r="A14" s="7">
        <v>43158</v>
      </c>
      <c r="B14" s="19">
        <f t="shared" si="0"/>
        <v>9</v>
      </c>
      <c r="C14" s="12">
        <v>0.65</v>
      </c>
      <c r="D14" s="13" t="s">
        <v>9</v>
      </c>
      <c r="E14" s="32" t="s">
        <v>69</v>
      </c>
      <c r="F14" s="14"/>
    </row>
    <row r="15" spans="1:6" x14ac:dyDescent="0.25">
      <c r="A15" s="7">
        <v>43158</v>
      </c>
      <c r="B15" s="19">
        <f t="shared" si="0"/>
        <v>9</v>
      </c>
      <c r="C15" s="12">
        <v>0.35</v>
      </c>
      <c r="D15" s="13" t="s">
        <v>6</v>
      </c>
      <c r="E15" s="32" t="s">
        <v>68</v>
      </c>
      <c r="F15" s="14"/>
    </row>
    <row r="16" spans="1:6" ht="30" x14ac:dyDescent="0.25">
      <c r="A16" s="7">
        <v>43158</v>
      </c>
      <c r="B16" s="19">
        <f t="shared" si="0"/>
        <v>9</v>
      </c>
      <c r="C16" s="12">
        <v>1</v>
      </c>
      <c r="D16" s="13" t="s">
        <v>9</v>
      </c>
      <c r="E16" s="32" t="s">
        <v>67</v>
      </c>
      <c r="F16" s="14"/>
    </row>
    <row r="17" spans="1:6" ht="45" x14ac:dyDescent="0.25">
      <c r="A17" s="7">
        <v>43147</v>
      </c>
      <c r="B17" s="19">
        <f t="shared" si="0"/>
        <v>7</v>
      </c>
      <c r="C17" s="12">
        <v>1.3</v>
      </c>
      <c r="D17" s="13" t="s">
        <v>9</v>
      </c>
      <c r="E17" s="32" t="s">
        <v>66</v>
      </c>
      <c r="F17" s="14"/>
    </row>
    <row r="18" spans="1:6" ht="30" x14ac:dyDescent="0.25">
      <c r="A18" s="7">
        <v>43147</v>
      </c>
      <c r="B18" s="19">
        <f t="shared" si="0"/>
        <v>7</v>
      </c>
      <c r="C18" s="12">
        <v>0.5</v>
      </c>
      <c r="D18" s="13" t="s">
        <v>7</v>
      </c>
      <c r="E18" s="32" t="s">
        <v>65</v>
      </c>
      <c r="F18" s="14"/>
    </row>
    <row r="19" spans="1:6" x14ac:dyDescent="0.25">
      <c r="A19" s="7">
        <v>43147</v>
      </c>
      <c r="B19" s="19">
        <f t="shared" si="0"/>
        <v>7</v>
      </c>
      <c r="C19" s="12">
        <v>0.5</v>
      </c>
      <c r="D19" s="13" t="s">
        <v>6</v>
      </c>
      <c r="E19" s="32" t="s">
        <v>64</v>
      </c>
      <c r="F19" s="14"/>
    </row>
    <row r="20" spans="1:6" ht="30" x14ac:dyDescent="0.25">
      <c r="A20" s="7">
        <v>43147</v>
      </c>
      <c r="B20" s="19">
        <f t="shared" si="0"/>
        <v>7</v>
      </c>
      <c r="C20" s="12">
        <v>0.5</v>
      </c>
      <c r="D20" s="13" t="s">
        <v>8</v>
      </c>
      <c r="E20" s="32" t="s">
        <v>62</v>
      </c>
      <c r="F20" s="33" t="s">
        <v>63</v>
      </c>
    </row>
    <row r="21" spans="1:6" ht="30" x14ac:dyDescent="0.25">
      <c r="A21" s="7">
        <v>43146</v>
      </c>
      <c r="B21" s="19">
        <f t="shared" si="0"/>
        <v>7</v>
      </c>
      <c r="C21" s="12">
        <v>0.7</v>
      </c>
      <c r="D21" s="13" t="s">
        <v>9</v>
      </c>
      <c r="E21" s="32" t="s">
        <v>61</v>
      </c>
      <c r="F21" s="14"/>
    </row>
    <row r="22" spans="1:6" x14ac:dyDescent="0.25">
      <c r="A22" s="7">
        <v>43146</v>
      </c>
      <c r="B22" s="19">
        <f t="shared" si="0"/>
        <v>7</v>
      </c>
      <c r="C22" s="12">
        <v>1.3</v>
      </c>
      <c r="D22" s="13" t="s">
        <v>6</v>
      </c>
      <c r="E22" s="32" t="s">
        <v>60</v>
      </c>
      <c r="F22" s="14"/>
    </row>
    <row r="23" spans="1:6" ht="30" x14ac:dyDescent="0.25">
      <c r="A23" s="7">
        <v>43146</v>
      </c>
      <c r="B23" s="19">
        <f t="shared" si="0"/>
        <v>7</v>
      </c>
      <c r="C23" s="12">
        <v>1</v>
      </c>
      <c r="D23" s="13" t="s">
        <v>6</v>
      </c>
      <c r="E23" s="32" t="s">
        <v>59</v>
      </c>
      <c r="F23" s="14"/>
    </row>
    <row r="24" spans="1:6" x14ac:dyDescent="0.25">
      <c r="A24" s="7">
        <v>43145</v>
      </c>
      <c r="B24" s="19">
        <f t="shared" si="0"/>
        <v>7</v>
      </c>
      <c r="C24" s="12">
        <v>1.5</v>
      </c>
      <c r="D24" s="13" t="s">
        <v>6</v>
      </c>
      <c r="E24" s="32" t="s">
        <v>58</v>
      </c>
      <c r="F24" s="14"/>
    </row>
    <row r="25" spans="1:6" ht="30" x14ac:dyDescent="0.25">
      <c r="A25" s="7">
        <v>43145</v>
      </c>
      <c r="B25" s="19">
        <f t="shared" si="0"/>
        <v>7</v>
      </c>
      <c r="C25" s="12">
        <v>0.75</v>
      </c>
      <c r="D25" s="13" t="s">
        <v>6</v>
      </c>
      <c r="E25" s="32" t="s">
        <v>56</v>
      </c>
      <c r="F25" s="33" t="s">
        <v>57</v>
      </c>
    </row>
    <row r="26" spans="1:6" x14ac:dyDescent="0.25">
      <c r="A26" s="7">
        <v>43144</v>
      </c>
      <c r="B26" s="19">
        <f t="shared" si="0"/>
        <v>7</v>
      </c>
      <c r="C26" s="12">
        <v>1.1000000000000001</v>
      </c>
      <c r="D26" s="13" t="s">
        <v>6</v>
      </c>
      <c r="E26" s="32" t="s">
        <v>55</v>
      </c>
      <c r="F26" s="14"/>
    </row>
    <row r="27" spans="1:6" ht="60" x14ac:dyDescent="0.25">
      <c r="A27" s="7">
        <v>43144</v>
      </c>
      <c r="B27" s="19">
        <f t="shared" si="0"/>
        <v>7</v>
      </c>
      <c r="C27" s="12">
        <v>2</v>
      </c>
      <c r="D27" s="13" t="s">
        <v>7</v>
      </c>
      <c r="E27" s="32" t="s">
        <v>53</v>
      </c>
      <c r="F27" s="33" t="s">
        <v>54</v>
      </c>
    </row>
    <row r="28" spans="1:6" x14ac:dyDescent="0.25">
      <c r="A28" s="7">
        <v>43144</v>
      </c>
      <c r="B28" s="19">
        <f t="shared" si="0"/>
        <v>7</v>
      </c>
      <c r="C28" s="12">
        <v>1.05</v>
      </c>
      <c r="D28" s="13" t="s">
        <v>9</v>
      </c>
      <c r="E28" s="32" t="s">
        <v>52</v>
      </c>
      <c r="F28" s="14"/>
    </row>
    <row r="29" spans="1:6" x14ac:dyDescent="0.25">
      <c r="A29" s="7">
        <v>43140</v>
      </c>
      <c r="B29" s="19">
        <f t="shared" si="0"/>
        <v>6</v>
      </c>
      <c r="C29" s="12">
        <v>1</v>
      </c>
      <c r="D29" s="13" t="s">
        <v>6</v>
      </c>
      <c r="E29" s="32" t="s">
        <v>51</v>
      </c>
      <c r="F29" s="14"/>
    </row>
    <row r="30" spans="1:6" x14ac:dyDescent="0.25">
      <c r="A30" s="7">
        <v>43140</v>
      </c>
      <c r="B30" s="19">
        <f t="shared" si="0"/>
        <v>6</v>
      </c>
      <c r="C30" s="12">
        <v>0.5</v>
      </c>
      <c r="D30" s="13" t="s">
        <v>9</v>
      </c>
      <c r="E30" s="32" t="s">
        <v>50</v>
      </c>
      <c r="F30" s="14"/>
    </row>
    <row r="31" spans="1:6" x14ac:dyDescent="0.25">
      <c r="A31" s="7">
        <v>43140</v>
      </c>
      <c r="B31" s="19">
        <f t="shared" si="0"/>
        <v>6</v>
      </c>
      <c r="C31" s="12">
        <v>1</v>
      </c>
      <c r="D31" s="13" t="s">
        <v>6</v>
      </c>
      <c r="E31" s="32" t="s">
        <v>49</v>
      </c>
      <c r="F31" s="14"/>
    </row>
    <row r="32" spans="1:6" x14ac:dyDescent="0.25">
      <c r="A32" s="7">
        <v>43140</v>
      </c>
      <c r="B32" s="19">
        <f t="shared" si="0"/>
        <v>6</v>
      </c>
      <c r="C32" s="12">
        <v>0.5</v>
      </c>
      <c r="D32" s="13" t="s">
        <v>7</v>
      </c>
      <c r="E32" s="32" t="s">
        <v>45</v>
      </c>
      <c r="F32" s="33" t="s">
        <v>48</v>
      </c>
    </row>
    <row r="33" spans="1:11" ht="45" x14ac:dyDescent="0.25">
      <c r="A33" s="7">
        <v>43139</v>
      </c>
      <c r="B33" s="19">
        <f t="shared" si="0"/>
        <v>6</v>
      </c>
      <c r="C33" s="12">
        <v>0.5</v>
      </c>
      <c r="D33" s="13" t="s">
        <v>7</v>
      </c>
      <c r="E33" s="32" t="s">
        <v>45</v>
      </c>
      <c r="F33" s="33" t="s">
        <v>47</v>
      </c>
    </row>
    <row r="34" spans="1:11" ht="45" x14ac:dyDescent="0.25">
      <c r="A34" s="7">
        <v>43139</v>
      </c>
      <c r="B34" s="19">
        <f t="shared" si="0"/>
        <v>6</v>
      </c>
      <c r="C34" s="12">
        <v>2</v>
      </c>
      <c r="D34" s="13" t="s">
        <v>6</v>
      </c>
      <c r="E34" s="32" t="s">
        <v>44</v>
      </c>
      <c r="F34" s="33" t="s">
        <v>46</v>
      </c>
    </row>
    <row r="35" spans="1:11" ht="30" x14ac:dyDescent="0.25">
      <c r="A35" s="7">
        <v>43139</v>
      </c>
      <c r="B35" s="19">
        <f t="shared" si="0"/>
        <v>6</v>
      </c>
      <c r="C35" s="12">
        <v>0.5</v>
      </c>
      <c r="D35" s="13" t="s">
        <v>6</v>
      </c>
      <c r="E35" s="32" t="s">
        <v>43</v>
      </c>
      <c r="F35" s="14"/>
    </row>
    <row r="36" spans="1:11" ht="30" x14ac:dyDescent="0.25">
      <c r="A36" s="7">
        <v>43138</v>
      </c>
      <c r="B36" s="19">
        <f t="shared" si="0"/>
        <v>6</v>
      </c>
      <c r="C36" s="12">
        <v>0.5</v>
      </c>
      <c r="D36" s="13" t="s">
        <v>6</v>
      </c>
      <c r="E36" s="32" t="s">
        <v>42</v>
      </c>
      <c r="F36" s="14"/>
    </row>
    <row r="37" spans="1:11" ht="30" x14ac:dyDescent="0.25">
      <c r="A37" s="7">
        <v>43138</v>
      </c>
      <c r="B37" s="19">
        <f t="shared" si="0"/>
        <v>6</v>
      </c>
      <c r="C37" s="12">
        <v>0.5</v>
      </c>
      <c r="D37" s="13" t="s">
        <v>8</v>
      </c>
      <c r="E37" s="32" t="s">
        <v>41</v>
      </c>
      <c r="F37" s="14"/>
    </row>
    <row r="38" spans="1:11" ht="30" x14ac:dyDescent="0.25">
      <c r="A38" s="7">
        <v>43138</v>
      </c>
      <c r="B38" s="19">
        <f t="shared" si="0"/>
        <v>6</v>
      </c>
      <c r="C38" s="12">
        <v>1</v>
      </c>
      <c r="D38" s="13" t="s">
        <v>8</v>
      </c>
      <c r="E38" s="32" t="s">
        <v>40</v>
      </c>
      <c r="F38" s="14"/>
    </row>
    <row r="39" spans="1:11" x14ac:dyDescent="0.25">
      <c r="A39" s="7">
        <v>43138</v>
      </c>
      <c r="B39" s="19">
        <f t="shared" si="0"/>
        <v>6</v>
      </c>
      <c r="C39" s="12">
        <v>0.5</v>
      </c>
      <c r="D39" s="13" t="s">
        <v>9</v>
      </c>
      <c r="E39" s="32" t="s">
        <v>39</v>
      </c>
      <c r="F39" s="14"/>
    </row>
    <row r="40" spans="1:11" ht="30" x14ac:dyDescent="0.25">
      <c r="A40" s="7">
        <v>43137</v>
      </c>
      <c r="B40" s="19">
        <f t="shared" si="0"/>
        <v>6</v>
      </c>
      <c r="C40" s="12">
        <v>1</v>
      </c>
      <c r="D40" s="13" t="s">
        <v>6</v>
      </c>
      <c r="E40" s="32" t="s">
        <v>36</v>
      </c>
      <c r="F40" s="14"/>
    </row>
    <row r="41" spans="1:11" x14ac:dyDescent="0.25">
      <c r="A41" s="7">
        <v>43137</v>
      </c>
      <c r="B41" s="19">
        <f t="shared" si="0"/>
        <v>6</v>
      </c>
      <c r="C41" s="12">
        <v>0.5</v>
      </c>
      <c r="D41" s="13" t="s">
        <v>9</v>
      </c>
      <c r="E41" s="32" t="s">
        <v>35</v>
      </c>
      <c r="F41" s="14"/>
    </row>
    <row r="42" spans="1:11" x14ac:dyDescent="0.25">
      <c r="A42" s="7">
        <v>43137</v>
      </c>
      <c r="B42" s="19">
        <f t="shared" si="0"/>
        <v>6</v>
      </c>
      <c r="C42" s="12">
        <v>0.5</v>
      </c>
      <c r="D42" s="13" t="s">
        <v>7</v>
      </c>
      <c r="E42" s="32" t="s">
        <v>37</v>
      </c>
      <c r="F42" s="14"/>
    </row>
    <row r="43" spans="1:11" x14ac:dyDescent="0.25">
      <c r="A43" s="7">
        <v>43137</v>
      </c>
      <c r="B43" s="19">
        <f t="shared" si="0"/>
        <v>6</v>
      </c>
      <c r="C43" s="12">
        <v>0.75</v>
      </c>
      <c r="D43" s="13" t="s">
        <v>6</v>
      </c>
      <c r="E43" s="32" t="s">
        <v>38</v>
      </c>
      <c r="F43" s="14"/>
    </row>
    <row r="44" spans="1:11" x14ac:dyDescent="0.25">
      <c r="A44" s="7">
        <v>43137</v>
      </c>
      <c r="B44" s="19">
        <f t="shared" si="0"/>
        <v>6</v>
      </c>
      <c r="C44" s="12">
        <v>1</v>
      </c>
      <c r="D44" s="13" t="s">
        <v>7</v>
      </c>
      <c r="E44" s="32" t="s">
        <v>34</v>
      </c>
      <c r="F44" s="14"/>
    </row>
    <row r="45" spans="1:11" ht="15.75" x14ac:dyDescent="0.25">
      <c r="A45" s="7">
        <v>43137</v>
      </c>
      <c r="B45" s="19">
        <f t="shared" si="0"/>
        <v>6</v>
      </c>
      <c r="C45" s="12">
        <v>1</v>
      </c>
      <c r="D45" s="13" t="s">
        <v>6</v>
      </c>
      <c r="E45" s="32" t="s">
        <v>33</v>
      </c>
      <c r="F45" s="14"/>
      <c r="I45" s="21" t="s">
        <v>27</v>
      </c>
      <c r="J45" s="22"/>
      <c r="K45" s="22"/>
    </row>
    <row r="46" spans="1:11" ht="30" x14ac:dyDescent="0.25">
      <c r="A46" s="7">
        <v>43133</v>
      </c>
      <c r="B46" s="19">
        <f t="shared" si="0"/>
        <v>5</v>
      </c>
      <c r="C46" s="12">
        <v>1</v>
      </c>
      <c r="D46" s="13" t="s">
        <v>6</v>
      </c>
      <c r="E46" s="14" t="s">
        <v>25</v>
      </c>
      <c r="F46" s="14" t="s">
        <v>26</v>
      </c>
      <c r="I46" s="23" t="s">
        <v>28</v>
      </c>
      <c r="J46" s="24"/>
      <c r="K46" s="25">
        <v>0</v>
      </c>
    </row>
    <row r="47" spans="1:11" ht="30" x14ac:dyDescent="0.25">
      <c r="A47" s="7">
        <v>43133</v>
      </c>
      <c r="B47" s="19">
        <f t="shared" si="0"/>
        <v>5</v>
      </c>
      <c r="C47" s="12">
        <v>0.5</v>
      </c>
      <c r="D47" s="13" t="s">
        <v>6</v>
      </c>
      <c r="E47" s="14" t="s">
        <v>23</v>
      </c>
      <c r="F47" s="14" t="s">
        <v>24</v>
      </c>
      <c r="I47" s="26" t="s">
        <v>29</v>
      </c>
      <c r="J47" s="27"/>
      <c r="K47" s="28">
        <v>0.19444444444444445</v>
      </c>
    </row>
    <row r="48" spans="1:11" x14ac:dyDescent="0.25">
      <c r="A48" s="7">
        <v>43133</v>
      </c>
      <c r="B48" s="19">
        <f t="shared" si="0"/>
        <v>5</v>
      </c>
      <c r="C48" s="12">
        <v>1</v>
      </c>
      <c r="D48" s="13" t="s">
        <v>6</v>
      </c>
      <c r="E48" s="14" t="s">
        <v>21</v>
      </c>
      <c r="F48" s="14"/>
      <c r="I48" s="26" t="s">
        <v>30</v>
      </c>
      <c r="J48" s="27"/>
      <c r="K48" s="28">
        <v>0.10069444444444443</v>
      </c>
    </row>
    <row r="49" spans="1:11" ht="30" x14ac:dyDescent="0.25">
      <c r="A49" s="7">
        <v>43133</v>
      </c>
      <c r="B49" s="19">
        <f t="shared" si="0"/>
        <v>5</v>
      </c>
      <c r="C49" s="12">
        <v>0.5</v>
      </c>
      <c r="D49" s="13" t="s">
        <v>6</v>
      </c>
      <c r="E49" s="14" t="s">
        <v>20</v>
      </c>
      <c r="F49" s="14" t="s">
        <v>22</v>
      </c>
      <c r="I49" s="26" t="s">
        <v>31</v>
      </c>
      <c r="J49" s="27"/>
      <c r="K49" s="28">
        <v>0.13194444444444445</v>
      </c>
    </row>
    <row r="50" spans="1:11" ht="15.75" thickBot="1" x14ac:dyDescent="0.3">
      <c r="A50" s="7">
        <v>43133</v>
      </c>
      <c r="B50" s="19">
        <f t="shared" si="0"/>
        <v>5</v>
      </c>
      <c r="C50" s="12">
        <v>0.5</v>
      </c>
      <c r="D50" s="13" t="s">
        <v>6</v>
      </c>
      <c r="E50" s="14" t="s">
        <v>19</v>
      </c>
      <c r="F50" s="14"/>
      <c r="I50" s="29" t="s">
        <v>32</v>
      </c>
      <c r="J50" s="30"/>
      <c r="K50" s="31">
        <v>0.13194444444444445</v>
      </c>
    </row>
    <row r="51" spans="1:11" x14ac:dyDescent="0.25">
      <c r="A51" s="7">
        <v>43132</v>
      </c>
      <c r="B51" s="19">
        <f t="shared" si="0"/>
        <v>5</v>
      </c>
      <c r="C51" s="12">
        <v>1</v>
      </c>
      <c r="D51" s="13" t="s">
        <v>6</v>
      </c>
      <c r="E51" s="14" t="s">
        <v>17</v>
      </c>
      <c r="F51" s="14" t="s">
        <v>18</v>
      </c>
      <c r="I51" s="15"/>
    </row>
    <row r="52" spans="1:11" x14ac:dyDescent="0.25">
      <c r="A52" s="7">
        <v>43132</v>
      </c>
      <c r="B52" s="19">
        <f t="shared" si="0"/>
        <v>5</v>
      </c>
      <c r="C52" s="12">
        <v>0.5</v>
      </c>
      <c r="D52" s="13" t="s">
        <v>7</v>
      </c>
      <c r="E52" s="14" t="s">
        <v>16</v>
      </c>
      <c r="F52" s="14"/>
      <c r="I52" s="15"/>
    </row>
    <row r="53" spans="1:11" x14ac:dyDescent="0.25">
      <c r="A53" s="7">
        <v>43132</v>
      </c>
      <c r="B53" s="19">
        <f t="shared" si="0"/>
        <v>5</v>
      </c>
      <c r="C53" s="12">
        <v>0.5</v>
      </c>
      <c r="D53" s="13" t="s">
        <v>7</v>
      </c>
      <c r="E53" s="14" t="s">
        <v>15</v>
      </c>
      <c r="F53" s="14"/>
      <c r="I53" s="15"/>
    </row>
    <row r="54" spans="1:11" x14ac:dyDescent="0.25">
      <c r="A54" s="7">
        <v>43132</v>
      </c>
      <c r="B54" s="19">
        <f t="shared" si="0"/>
        <v>5</v>
      </c>
      <c r="C54" s="12">
        <v>1</v>
      </c>
      <c r="D54" s="13" t="s">
        <v>6</v>
      </c>
      <c r="E54" s="14" t="s">
        <v>14</v>
      </c>
      <c r="F54" s="14"/>
      <c r="I54" s="15"/>
    </row>
  </sheetData>
  <sheetProtection selectLockedCells="1"/>
  <mergeCells count="6">
    <mergeCell ref="I45:K45"/>
    <mergeCell ref="I46:J46"/>
    <mergeCell ref="I47:J47"/>
    <mergeCell ref="I48:J48"/>
    <mergeCell ref="I49:J49"/>
    <mergeCell ref="I50:J50"/>
  </mergeCells>
  <pageMargins left="0.7" right="0.7" top="0.75" bottom="0.75" header="0.3" footer="0.3"/>
  <pageSetup paperSize="15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4</xdr:col>
                    <xdr:colOff>47625</xdr:colOff>
                    <xdr:row>0</xdr:row>
                    <xdr:rowOff>28575</xdr:rowOff>
                  </from>
                  <to>
                    <xdr:col>4</xdr:col>
                    <xdr:colOff>333375</xdr:colOff>
                    <xdr:row>0</xdr:row>
                    <xdr:rowOff>276225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D2:D54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F17"/>
  <sheetViews>
    <sheetView workbookViewId="0">
      <selection activeCell="D16" sqref="D16"/>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5.5703125" bestFit="1" customWidth="1"/>
    <col min="6" max="6" width="12.57031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6" x14ac:dyDescent="0.25">
      <c r="A3" s="4" t="s">
        <v>13</v>
      </c>
    </row>
    <row r="4" spans="1:6" x14ac:dyDescent="0.25">
      <c r="B4" t="s">
        <v>9</v>
      </c>
      <c r="C4" t="s">
        <v>7</v>
      </c>
      <c r="D4" t="s">
        <v>6</v>
      </c>
      <c r="E4" t="s">
        <v>8</v>
      </c>
      <c r="F4" t="s">
        <v>11</v>
      </c>
    </row>
    <row r="5" spans="1:6" x14ac:dyDescent="0.25">
      <c r="A5" s="5">
        <v>43139</v>
      </c>
      <c r="B5" s="3"/>
      <c r="C5" s="3">
        <v>0.5</v>
      </c>
      <c r="D5" s="3">
        <v>2.5</v>
      </c>
      <c r="E5" s="3"/>
      <c r="F5" s="3">
        <v>3</v>
      </c>
    </row>
    <row r="6" spans="1:6" x14ac:dyDescent="0.25">
      <c r="A6" s="5">
        <v>43138</v>
      </c>
      <c r="B6" s="3">
        <v>0.5</v>
      </c>
      <c r="C6" s="3"/>
      <c r="D6" s="3">
        <v>0.5</v>
      </c>
      <c r="E6" s="3">
        <v>1.5</v>
      </c>
      <c r="F6" s="3">
        <v>2.5</v>
      </c>
    </row>
    <row r="7" spans="1:6" x14ac:dyDescent="0.25">
      <c r="A7" s="5">
        <v>43137</v>
      </c>
      <c r="B7" s="3">
        <v>0.5</v>
      </c>
      <c r="C7" s="3">
        <v>1.5</v>
      </c>
      <c r="D7" s="3">
        <v>2.75</v>
      </c>
      <c r="E7" s="3"/>
      <c r="F7" s="3">
        <v>4.75</v>
      </c>
    </row>
    <row r="8" spans="1:6" x14ac:dyDescent="0.25">
      <c r="A8" s="5">
        <v>43133</v>
      </c>
      <c r="B8" s="3"/>
      <c r="C8" s="3"/>
      <c r="D8" s="3">
        <v>3.5</v>
      </c>
      <c r="E8" s="3"/>
      <c r="F8" s="3">
        <v>3.5</v>
      </c>
    </row>
    <row r="9" spans="1:6" x14ac:dyDescent="0.25">
      <c r="A9" s="5">
        <v>43132</v>
      </c>
      <c r="B9" s="3">
        <v>0</v>
      </c>
      <c r="C9" s="3">
        <v>1</v>
      </c>
      <c r="D9" s="3">
        <v>2</v>
      </c>
      <c r="E9" s="3"/>
      <c r="F9" s="3">
        <v>3</v>
      </c>
    </row>
    <row r="10" spans="1:6" x14ac:dyDescent="0.25">
      <c r="A10" s="5">
        <v>43147</v>
      </c>
      <c r="B10" s="3">
        <v>1.3</v>
      </c>
      <c r="C10" s="3">
        <v>0.5</v>
      </c>
      <c r="D10" s="3">
        <v>0.5</v>
      </c>
      <c r="E10" s="3">
        <v>0.5</v>
      </c>
      <c r="F10" s="3">
        <v>2.8</v>
      </c>
    </row>
    <row r="11" spans="1:6" x14ac:dyDescent="0.25">
      <c r="A11" s="5">
        <v>43146</v>
      </c>
      <c r="B11" s="3">
        <v>0.7</v>
      </c>
      <c r="C11" s="3"/>
      <c r="D11" s="3">
        <v>2.2999999999999998</v>
      </c>
      <c r="E11" s="3"/>
      <c r="F11" s="3">
        <v>3</v>
      </c>
    </row>
    <row r="12" spans="1:6" x14ac:dyDescent="0.25">
      <c r="A12" s="5">
        <v>43145</v>
      </c>
      <c r="B12" s="3"/>
      <c r="C12" s="3"/>
      <c r="D12" s="3">
        <v>2.25</v>
      </c>
      <c r="E12" s="3"/>
      <c r="F12" s="3">
        <v>2.25</v>
      </c>
    </row>
    <row r="13" spans="1:6" x14ac:dyDescent="0.25">
      <c r="A13" s="5">
        <v>43144</v>
      </c>
      <c r="B13" s="3">
        <v>1.05</v>
      </c>
      <c r="C13" s="3">
        <v>2</v>
      </c>
      <c r="D13" s="3">
        <v>1.1000000000000001</v>
      </c>
      <c r="E13" s="3"/>
      <c r="F13" s="3">
        <v>4.1500000000000004</v>
      </c>
    </row>
    <row r="14" spans="1:6" x14ac:dyDescent="0.25">
      <c r="A14" s="5">
        <v>43140</v>
      </c>
      <c r="B14" s="3">
        <v>0.5</v>
      </c>
      <c r="C14" s="3">
        <v>0.5</v>
      </c>
      <c r="D14" s="3">
        <v>2</v>
      </c>
      <c r="E14" s="3"/>
      <c r="F14" s="3">
        <v>3</v>
      </c>
    </row>
    <row r="15" spans="1:6" x14ac:dyDescent="0.25">
      <c r="A15" s="5">
        <v>43158</v>
      </c>
      <c r="B15" s="3">
        <v>3.9</v>
      </c>
      <c r="C15" s="3">
        <v>0.1</v>
      </c>
      <c r="D15" s="3">
        <v>1.2</v>
      </c>
      <c r="E15" s="3"/>
      <c r="F15" s="3">
        <v>5.2</v>
      </c>
    </row>
    <row r="16" spans="1:6" x14ac:dyDescent="0.25">
      <c r="A16" s="5">
        <v>43159</v>
      </c>
      <c r="B16" s="3"/>
      <c r="C16" s="3">
        <v>1.65</v>
      </c>
      <c r="D16" s="3"/>
      <c r="E16" s="3"/>
      <c r="F16" s="3">
        <v>1.65</v>
      </c>
    </row>
    <row r="17" spans="1:6" x14ac:dyDescent="0.25">
      <c r="A17" s="5" t="s">
        <v>11</v>
      </c>
      <c r="B17" s="3">
        <v>8.4499999999999993</v>
      </c>
      <c r="C17" s="3">
        <v>7.75</v>
      </c>
      <c r="D17" s="3">
        <v>20.6</v>
      </c>
      <c r="E17" s="3">
        <v>2</v>
      </c>
      <c r="F17" s="3">
        <v>38.800000000000004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3"/>
  <dimension ref="A1:A6"/>
  <sheetViews>
    <sheetView workbookViewId="0">
      <selection activeCell="B18" sqref="B18"/>
    </sheetView>
  </sheetViews>
  <sheetFormatPr baseColWidth="10" defaultRowHeight="15" x14ac:dyDescent="0.25"/>
  <cols>
    <col min="1" max="1" width="13.140625" bestFit="1" customWidth="1"/>
  </cols>
  <sheetData>
    <row r="1" spans="1:1" x14ac:dyDescent="0.25">
      <c r="A1" s="2" t="s">
        <v>5</v>
      </c>
    </row>
    <row r="2" spans="1:1" x14ac:dyDescent="0.25">
      <c r="A2" s="1" t="s">
        <v>6</v>
      </c>
    </row>
    <row r="3" spans="1:1" x14ac:dyDescent="0.25">
      <c r="A3" s="1" t="s">
        <v>7</v>
      </c>
    </row>
    <row r="4" spans="1:1" x14ac:dyDescent="0.25">
      <c r="A4" s="1" t="s">
        <v>8</v>
      </c>
    </row>
    <row r="5" spans="1:1" x14ac:dyDescent="0.25">
      <c r="A5" s="1" t="s">
        <v>9</v>
      </c>
    </row>
    <row r="6" spans="1:1" x14ac:dyDescent="0.25">
      <c r="A6" s="1" t="s">
        <v>10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3</vt:i4>
      </vt:variant>
    </vt:vector>
  </HeadingPairs>
  <TitlesOfParts>
    <vt:vector size="3" baseType="lpstr">
      <vt:lpstr>Journal</vt:lpstr>
      <vt:lpstr>Totaux</vt:lpstr>
      <vt:lpstr>Paramètres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2018-03-02T13:27:56Z</dcterms:modified>
</cp:coreProperties>
</file>