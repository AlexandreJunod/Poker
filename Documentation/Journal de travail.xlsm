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l="1"/>
  <c r="B7" i="1"/>
  <c r="B8" i="1"/>
  <c r="B9" i="1"/>
  <c r="B10" i="1"/>
  <c r="B11" i="1"/>
  <c r="B12" i="1" l="1"/>
  <c r="B13" i="1"/>
  <c r="B14" i="1"/>
  <c r="B15" i="1"/>
  <c r="B16" i="1"/>
  <c r="B17" i="1" l="1"/>
  <c r="B18" i="1"/>
  <c r="B19" i="1"/>
  <c r="B20" i="1"/>
  <c r="B22" i="1"/>
  <c r="B21" i="1"/>
  <c r="B23" i="1"/>
  <c r="B24" i="1"/>
  <c r="B25" i="1"/>
  <c r="B26" i="1"/>
  <c r="B27" i="1"/>
  <c r="B28" i="1" l="1"/>
  <c r="B29" i="1"/>
  <c r="B30" i="1"/>
  <c r="B31" i="1"/>
  <c r="B33" i="1"/>
  <c r="B32" i="1"/>
  <c r="B34" i="1"/>
  <c r="B35" i="1"/>
  <c r="B36" i="1" l="1"/>
  <c r="B37" i="1"/>
  <c r="B38" i="1" l="1"/>
  <c r="B39" i="1" l="1"/>
  <c r="B40" i="1"/>
  <c r="B41" i="1"/>
  <c r="B42" i="1"/>
  <c r="B43" i="1"/>
  <c r="B44" i="1"/>
  <c r="B45" i="1"/>
  <c r="B46" i="1"/>
  <c r="B47" i="1"/>
  <c r="B48" i="1"/>
  <c r="B49" i="1"/>
  <c r="B50" i="1"/>
  <c r="B51" i="1"/>
  <c r="B52" i="1"/>
  <c r="B53" i="1"/>
  <c r="B54" i="1"/>
  <c r="B55" i="1" l="1"/>
  <c r="B56" i="1"/>
  <c r="B57" i="1" l="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l="1"/>
  <c r="B104" i="1"/>
  <c r="B105" i="1"/>
  <c r="B106" i="1"/>
  <c r="B107" i="1"/>
  <c r="B108" i="1"/>
  <c r="B109" i="1"/>
</calcChain>
</file>

<file path=xl/sharedStrings.xml><?xml version="1.0" encoding="utf-8"?>
<sst xmlns="http://schemas.openxmlformats.org/spreadsheetml/2006/main" count="274" uniqueCount="160">
  <si>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</si>
  <si>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</si>
  <si>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</si>
  <si>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</si>
  <si>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</si>
  <si>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</si>
  <si>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</si>
  <si>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</si>
  <si>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</si>
  <si>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</si>
  <si>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</si>
  <si>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</si>
  <si>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</si>
  <si>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</si>
  <si>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</si>
  <si>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</si>
  <si>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</si>
  <si>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</si>
  <si>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</si>
  <si>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</si>
  <si>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</si>
  <si>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</si>
  <si>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</si>
  <si>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</si>
  <si>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</si>
  <si>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</si>
  <si>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</si>
  <si>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</si>
  <si>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</si>
  <si>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</si>
  <si>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</si>
  <si>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</si>
  <si>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</si>
  <si>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</si>
  <si>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</si>
  <si>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</si>
  <si>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</si>
  <si>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</si>
  <si>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</si>
  <si>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</si>
  <si>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</si>
  <si>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</si>
  <si>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</si>
  <si>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</si>
  <si>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</si>
  <si>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</si>
  <si>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</si>
  <si>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</si>
  <si>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</si>
  <si>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</si>
  <si>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</si>
  <si>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</si>
  <si>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</si>
  <si>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</si>
  <si>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</si>
  <si>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</si>
  <si>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</si>
  <si>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</si>
  <si>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</si>
  <si>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</si>
  <si>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</si>
  <si>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</si>
  <si>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</si>
  <si>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</si>
  <si>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</si>
  <si>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</si>
  <si>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</si>
  <si>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</si>
  <si>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</si>
  <si>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</si>
  <si>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</si>
  <si>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</si>
  <si>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</si>
  <si>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</si>
  <si>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</si>
  <si>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</si>
  <si>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</si>
  <si>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</si>
  <si>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</si>
  <si>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</si>
  <si>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</si>
  <si>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</si>
  <si>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</si>
  <si>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</si>
  <si>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</si>
  <si>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</si>
  <si>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</si>
  <si>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</si>
  <si>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</si>
  <si>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</si>
  <si>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</si>
  <si>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</si>
  <si>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</si>
  <si>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</si>
  <si>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</si>
  <si>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</si>
  <si>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</si>
  <si>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</si>
  <si>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</si>
  <si>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</si>
  <si>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</si>
  <si>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</si>
  <si>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</si>
  <si>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</si>
  <si>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</si>
  <si>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</si>
  <si>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</si>
  <si>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</si>
  <si>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</si>
  <si>
    <t>Ouvrir la connexion a wamp afin de permetre a d'autres personnes de se connecter au poker online</t>
  </si>
  <si>
    <t>J'ai suivi plusieurs procèdures trouvées sur internet, rien n'a fonctionner et parfois mon wamp ne fonctionnait plus. Avec la version de wamp que j'ai, il suffit de changer le "Require local" en "Require all granted" dans le "httpd-vhost.conf"</t>
  </si>
  <si>
    <t>Tester ce qui est fonctionnel, afin d'évaluer se qui me reste a faire pour la présentation du sprint 2, modifier les 2 choses afin d'éviter 2 erreurs. Ecrire sur un post-it "une histoire" afin de présenter le sprint 2 sans avoir a changer des paramètres en cours de route</t>
  </si>
  <si>
    <t>Création d'une image pour la table de poker</t>
  </si>
  <si>
    <t>Le plus dur était de faire étape par étape, savoir quels tours j'allait montré et comment séparer les différents cas, j'ai donc du regarder plusieurs fois la vidéo de suite afin d'être câpable de suivre</t>
  </si>
  <si>
    <t>Le plus dur était d'avoir la bonne mise en page. En ayant un format 1920x1080, l'image n'était pas centrée, j'ai donc rechanger la taille de l'image plusieurs fois.</t>
  </si>
  <si>
    <t>Ajouter des boutons déconnexion et quitter la table, gérer les requêtes en rapport avec ces boutons et modifier certains élèments de la base de donnée</t>
  </si>
  <si>
    <t>Tester avec plusieurs élèves de la classe la connexion a plusieurs joueurs, et retirer les différents bugs restants</t>
  </si>
  <si>
    <t xml:space="preserve">Pour la prochaine fois il est plus interessant d'utiliser le navigateur privé </t>
  </si>
  <si>
    <t>Créer les divs afin d'afficher les joueurs et créer le code qui permet de gérer les connexions des joueurs</t>
  </si>
  <si>
    <t>Les divs ont pris du temps à se mettre au bon endroit. Je ne savais plus comment utiliser un foreach afin de gérer toutes les valeurs qui sortent d'une requête. Le code au départ afichait plusieurs fois le joueur qui était sur la page "table.php" car un "extract" était utilisé au lieu d'un foreach</t>
  </si>
  <si>
    <t>Gérer le début d'une partie et afficher le message, afin de dire que la partie a commencer</t>
  </si>
  <si>
    <t>Préparer la démonstration du sprint 2, et tester avec le chef de projet vienne vers moi</t>
  </si>
  <si>
    <t>Présenter le sprint 2</t>
  </si>
  <si>
    <t>Remplir le journal de bord pour cette semaine en revoyant les commentaires que j'ai posté sur GitHub. Modifier le sprint 3 sur trello</t>
  </si>
  <si>
    <t>Lorsque 2 joueurs quittent au même temps la table, la partie ne se termine pas</t>
  </si>
  <si>
    <t>Bloqué une partie, lorsqu'elle a commencé. Il faut que 5 joueurs quittent la table pour que la partie s'arrête</t>
  </si>
  <si>
    <t xml:space="preserve">Changer 2-3 points dans la base de donnée. Modifier le code afin de placer en mode "jouer" les joueurs qui rejoignent une partie déjà en cours </t>
  </si>
  <si>
    <t>Le code fonctionnait, mais pas correctement car la logique était fausse</t>
  </si>
  <si>
    <t>Modifier de place le code qui permet de terminer la partie, afin de mettre la table en "attente"</t>
  </si>
  <si>
    <t>Le code qui permetait de finir une partie, à été mis à jour, la partie ne se termine pas lorsqu'il reste 1 seul joueur, mais lorsque le 2eme joueur restant quitte la table. Le default c'est qu'il faudra refaire le meme code, lorsque le joueur  perdra une partie, et faire une requête pour voir le message de partie gagnée.</t>
  </si>
  <si>
    <t>Gérer l'affichage, faire en sorte que tout le monde se voye à la première place</t>
  </si>
  <si>
    <t>Ma façon de calculer la place de l'utilisateur, pose problème par la suite pour les blinds, car il echangeait de place avec un autre joueur, ce qui supprimait l'ordre logique dans le quels les blinds et dealers tournent</t>
  </si>
  <si>
    <t>Modifier la base de donnée afin de gérer les différentes mains, cela permetra également d'assigné un dealer, un small blind et un big blind</t>
  </si>
  <si>
    <t>Trouver un autre moyen de gérer l'affichage, en fesant "tourner" le point de vue du joueur, mais en conservant l'ordre de jeux</t>
  </si>
  <si>
    <t>Le calcul est juste a l'écrit, placé dans un phrase ou même sous forme de dessin, mais je n'arrive pas à l'appliquer dans le code, selon la place qu'il occupe, il se trouve dans le desordre.</t>
  </si>
  <si>
    <t>Malade</t>
  </si>
  <si>
    <t>Le calcul était juste, l'ordre d'éxécution était faux</t>
  </si>
  <si>
    <t>Remplir le journal de bord</t>
  </si>
  <si>
    <t>Demander de l'aide à jarod, afin de voir comment il interprête mon code. Et le modifier</t>
  </si>
  <si>
    <t>Dans le cas ou c'est la 74ème main, que le joueur numéro 2 quitte, le joueur numéro 3 sera dealer, lorsque la 75ème main commence, le joueur 3 sera de nouveau dealer. Ce calcul ne fonctionne donc pas</t>
  </si>
  <si>
    <t>Trouver le calcul afin de savoir qui est le dealer selon le nombre de main joués (Récupéré le nombre de mains jouées, si le chiffre dépasse &gt;= 7 il faut faire -6. Dans le cas où le nombre ne correspond pas à un joueur existant, on fait +1, si on dépasse 6, on revient a 1 )</t>
  </si>
  <si>
    <t xml:space="preserve">Commencer a gérer les divs pour le dealer et les blinds. </t>
  </si>
  <si>
    <t>Ajout d'une colonne dealer dans la base de donnée</t>
  </si>
  <si>
    <t>Ajuster les divs des jetons</t>
  </si>
  <si>
    <t>Créer le bouton qui permet de passer à la main suivante et créer les requêttes qui gérent correctement les jetons dealers, small blind et big blind</t>
  </si>
  <si>
    <t xml:space="preserve">Gére le code qui affiche les jetons. </t>
  </si>
  <si>
    <t>La première fois il ne prennait pas en compte "la vue" de l'utilisateur, donc tout le monde se voyait dealer. Deuxième fois j'ai changer le code, la vue était bonne mais le 6eme joueur gardait toujours un jeton, j'ai changer plusieurs fois de façon d'afficher les jetons, et changer plusieurs fois de place mon code, mais je n'y parvenais pas</t>
  </si>
  <si>
    <t>Avec Jarod, nous avons essayer de dépanner ce problème, et nous sommes parvenus</t>
  </si>
  <si>
    <t>Le problème venait d'une variable qui se trouvait dans le foreach, et qui générait plusieurs nombres, au lieu d'en générer un seul</t>
  </si>
  <si>
    <t>Ajuster le code qui permet de faire tourner les jetons. Mettre le code qui fait tourner les jetons dans une fonction.  Réecrire le code qui permet de tourner les jetons, étape par étapes, afin d'avoir 3 fonctions pour les 3 jetons.</t>
  </si>
  <si>
    <t>La réecriture de la fonctione, afin d'y aller étape par étape, aurait permis d'éviter de perdre un jeton lorsque le joueur quitte la partie et de ne pas avoir trop de répétitions. Mais ceci n'a pas fonctionner</t>
  </si>
  <si>
    <t>Dépanner le code, afin qu'il refonctionne. J'ai également demandé un peu d'aide à Jarod</t>
  </si>
  <si>
    <t>Voir mes différents problèmes avec mon chef de projet. Refaire un nouveau MLD, et prendre la décision de repartir d'un code plus propre.</t>
  </si>
  <si>
    <t>Retraduire en anglais toute ma base de donnée. Selectionner le code encore fonctionnel, supprimé ce qui devait être supprimé, recommenté tout mon code en anglais, renommé quelques variables et divs avec des mots anglais</t>
  </si>
  <si>
    <t>Gérer la page de connexion, d'inscription, l'affichage de la page home.php et table.php, réordonner mon code et optimiser mes requêtes afin de faire plus d'actions avec moins de requêtes</t>
  </si>
  <si>
    <t>Ajouter le MCD et le MLD dans la doc, expliquer ce que chaque champ représente. Remplir le journal de travail et le journal de bord. Lire les différents canevas afin de savoir ou placer mon MCD et mon MLD</t>
  </si>
  <si>
    <t>Gérer l'affichage des joueurs, l'argent des joueurs, la place des joueurs. Quand un joueur quitte une partie, le "OrderSeat" est recalculé. Rajouter un champ dans la base de donnée (BetSeat). Renommer mes divs pour qu'elles fonctionnent avec mon calcul en modulo 6 (%6)</t>
  </si>
  <si>
    <t>Marquer le début d'une partie, et tester tout ce qui à été fait depuis le début, relire le trello afin de voir si un objectif aurait été oublié, suite au nouveau départ de mon code.</t>
  </si>
  <si>
    <t xml:space="preserve">Créer le code qui permet de passer à la main suivante, faire bouger les jetons, gérer l'affichage des jetons, gérer l'argent posé par les blinds. Eliminer les joueurs et gérer les messages d'erreur. </t>
  </si>
  <si>
    <t>Tester les différentes fonctionnalités rajoutées aujourd'hui et préparer la présentation du sprint 3 et présenter le sprint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</si>
</sst>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109"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109"/>
  <sheetViews>
    <sheetView tabSelected="1" workbookViewId="0">
      <selection activeCell="E2" sqref="E2"/>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43209</v>
      </c>
      <c r="B2" s="19">
        <f t="shared" ref="B2" si="0">WEEKNUM(A2)</f>
        <v>16</v>
      </c>
      <c r="C2" s="12">
        <v>0</v>
      </c>
      <c r="D2" s="13" t="s">
        <v>7</v>
      </c>
      <c r="E2" s="24"/>
      <c r="F2" s="14"/>
    </row>
    <row r="3" spans="1:6" ht="30" x14ac:dyDescent="0.25">
      <c r="A3" s="7">
        <v>43207</v>
      </c>
      <c r="B3" s="19">
        <f t="shared" ref="B3" si="1">WEEKNUM(A3)</f>
        <v>16</v>
      </c>
      <c r="C3" s="12">
        <v>0.75</v>
      </c>
      <c r="D3" s="13" t="s">
        <v>7</v>
      </c>
      <c r="E3" s="24" t="s">
        <v>159</v>
      </c>
      <c r="F3" s="14"/>
    </row>
    <row r="4" spans="1:6" ht="45" x14ac:dyDescent="0.25">
      <c r="A4" s="7">
        <v>43207</v>
      </c>
      <c r="B4" s="19">
        <f t="shared" ref="B4" si="2">WEEKNUM(A4)</f>
        <v>16</v>
      </c>
      <c r="C4" s="12">
        <v>2.5</v>
      </c>
      <c r="D4" s="13" t="s">
        <v>7</v>
      </c>
      <c r="E4" s="24" t="s">
        <v>158</v>
      </c>
      <c r="F4" s="14"/>
    </row>
    <row r="5" spans="1:6" ht="30" x14ac:dyDescent="0.25">
      <c r="A5" s="7">
        <v>43206</v>
      </c>
      <c r="B5" s="19">
        <f t="shared" ref="B5" si="3">WEEKNUM(A5)</f>
        <v>16</v>
      </c>
      <c r="C5" s="12">
        <v>0.5</v>
      </c>
      <c r="D5" s="13" t="s">
        <v>8</v>
      </c>
      <c r="E5" s="24" t="s">
        <v>157</v>
      </c>
      <c r="F5" s="14"/>
    </row>
    <row r="6" spans="1:6" ht="45" x14ac:dyDescent="0.25">
      <c r="A6" s="7">
        <v>43188</v>
      </c>
      <c r="B6" s="19">
        <f t="shared" ref="B6" si="4">WEEKNUM(A6)</f>
        <v>13</v>
      </c>
      <c r="C6" s="12">
        <v>2.1</v>
      </c>
      <c r="D6" s="13" t="s">
        <v>7</v>
      </c>
      <c r="E6" s="24" t="s">
        <v>156</v>
      </c>
      <c r="F6" s="14"/>
    </row>
    <row r="7" spans="1:6" ht="45" x14ac:dyDescent="0.25">
      <c r="A7" s="7">
        <v>43188</v>
      </c>
      <c r="B7" s="19">
        <f t="shared" ref="B7" si="5">WEEKNUM(A7)</f>
        <v>13</v>
      </c>
      <c r="C7" s="12">
        <v>1</v>
      </c>
      <c r="D7" s="13" t="s">
        <v>9</v>
      </c>
      <c r="E7" s="24" t="s">
        <v>155</v>
      </c>
      <c r="F7" s="14"/>
    </row>
    <row r="8" spans="1:6" ht="45" x14ac:dyDescent="0.25">
      <c r="A8" s="7">
        <v>43187</v>
      </c>
      <c r="B8" s="19">
        <f t="shared" ref="B8" si="6">WEEKNUM(A8)</f>
        <v>13</v>
      </c>
      <c r="C8" s="12">
        <v>2.25</v>
      </c>
      <c r="D8" s="13" t="s">
        <v>7</v>
      </c>
      <c r="E8" s="24" t="s">
        <v>154</v>
      </c>
      <c r="F8" s="14"/>
    </row>
    <row r="9" spans="1:6" ht="45" x14ac:dyDescent="0.25">
      <c r="A9" s="7">
        <v>43186</v>
      </c>
      <c r="B9" s="19">
        <f t="shared" ref="B9" si="7">WEEKNUM(A9)</f>
        <v>13</v>
      </c>
      <c r="C9" s="12">
        <v>3.5</v>
      </c>
      <c r="D9" s="13" t="s">
        <v>7</v>
      </c>
      <c r="E9" s="24" t="s">
        <v>153</v>
      </c>
      <c r="F9" s="14"/>
    </row>
    <row r="10" spans="1:6" ht="30" x14ac:dyDescent="0.25">
      <c r="A10" s="7">
        <v>43186</v>
      </c>
      <c r="B10" s="19">
        <f t="shared" ref="B10" si="8">WEEKNUM(A10)</f>
        <v>13</v>
      </c>
      <c r="C10" s="12">
        <v>0.75</v>
      </c>
      <c r="D10" s="13" t="s">
        <v>7</v>
      </c>
      <c r="E10" s="24" t="s">
        <v>152</v>
      </c>
      <c r="F10" s="14"/>
    </row>
    <row r="11" spans="1:6" x14ac:dyDescent="0.25">
      <c r="A11" s="7">
        <v>43182</v>
      </c>
      <c r="B11" s="19">
        <f t="shared" ref="B11" si="9">WEEKNUM(A11)</f>
        <v>12</v>
      </c>
      <c r="C11" s="12">
        <v>1</v>
      </c>
      <c r="D11" s="13" t="s">
        <v>7</v>
      </c>
      <c r="E11" s="24" t="s">
        <v>151</v>
      </c>
      <c r="F11" s="14"/>
    </row>
    <row r="12" spans="1:6" ht="45" x14ac:dyDescent="0.25">
      <c r="A12" s="7">
        <v>43182</v>
      </c>
      <c r="B12" s="19">
        <f t="shared" ref="B12" si="10">WEEKNUM(A12)</f>
        <v>12</v>
      </c>
      <c r="C12" s="12">
        <v>2</v>
      </c>
      <c r="D12" s="13" t="s">
        <v>7</v>
      </c>
      <c r="E12" s="24" t="s">
        <v>149</v>
      </c>
      <c r="F12" s="14" t="s">
        <v>150</v>
      </c>
    </row>
    <row r="13" spans="1:6" ht="30" x14ac:dyDescent="0.25">
      <c r="A13" s="7">
        <v>43181</v>
      </c>
      <c r="B13" s="19">
        <f t="shared" ref="B13" si="11">WEEKNUM(A13)</f>
        <v>12</v>
      </c>
      <c r="C13" s="12">
        <v>0.45</v>
      </c>
      <c r="D13" s="13" t="s">
        <v>7</v>
      </c>
      <c r="E13" s="24" t="s">
        <v>147</v>
      </c>
      <c r="F13" s="14" t="s">
        <v>148</v>
      </c>
    </row>
    <row r="14" spans="1:6" ht="75" x14ac:dyDescent="0.25">
      <c r="A14" s="7">
        <v>43181</v>
      </c>
      <c r="B14" s="19">
        <f t="shared" ref="B14" si="12">WEEKNUM(A14)</f>
        <v>12</v>
      </c>
      <c r="C14" s="12">
        <v>1.3</v>
      </c>
      <c r="D14" s="13" t="s">
        <v>7</v>
      </c>
      <c r="E14" s="24" t="s">
        <v>145</v>
      </c>
      <c r="F14" s="14" t="s">
        <v>146</v>
      </c>
    </row>
    <row r="15" spans="1:6" ht="30" x14ac:dyDescent="0.25">
      <c r="A15" s="7">
        <v>43181</v>
      </c>
      <c r="B15" s="19">
        <f t="shared" ref="B15" si="13">WEEKNUM(A15)</f>
        <v>12</v>
      </c>
      <c r="C15" s="12">
        <v>0.75</v>
      </c>
      <c r="D15" s="13" t="s">
        <v>7</v>
      </c>
      <c r="E15" s="24" t="s">
        <v>144</v>
      </c>
      <c r="F15" s="14"/>
    </row>
    <row r="16" spans="1:6" x14ac:dyDescent="0.25">
      <c r="A16" s="7">
        <v>43181</v>
      </c>
      <c r="B16" s="19">
        <f t="shared" ref="B16" si="14">WEEKNUM(A16)</f>
        <v>12</v>
      </c>
      <c r="C16" s="12">
        <v>0.25</v>
      </c>
      <c r="D16" s="13" t="s">
        <v>7</v>
      </c>
      <c r="E16" s="24" t="s">
        <v>143</v>
      </c>
      <c r="F16" s="14"/>
    </row>
    <row r="17" spans="1:6" x14ac:dyDescent="0.25">
      <c r="A17" s="7">
        <v>43180</v>
      </c>
      <c r="B17" s="19">
        <f t="shared" ref="B17" si="15">WEEKNUM(A17)</f>
        <v>12</v>
      </c>
      <c r="C17" s="12">
        <v>0.05</v>
      </c>
      <c r="D17" s="13" t="s">
        <v>7</v>
      </c>
      <c r="E17" s="24" t="s">
        <v>142</v>
      </c>
      <c r="F17" s="14"/>
    </row>
    <row r="18" spans="1:6" ht="45" x14ac:dyDescent="0.25">
      <c r="A18" s="7">
        <v>43180</v>
      </c>
      <c r="B18" s="19">
        <f t="shared" ref="B18" si="16">WEEKNUM(A18)</f>
        <v>12</v>
      </c>
      <c r="C18" s="12">
        <v>0.5</v>
      </c>
      <c r="D18" s="13" t="s">
        <v>7</v>
      </c>
      <c r="E18" s="24" t="s">
        <v>140</v>
      </c>
      <c r="F18" s="14" t="s">
        <v>139</v>
      </c>
    </row>
    <row r="19" spans="1:6" x14ac:dyDescent="0.25">
      <c r="A19" s="7">
        <v>43180</v>
      </c>
      <c r="B19" s="19">
        <f t="shared" ref="B19" si="17">WEEKNUM(A19)</f>
        <v>12</v>
      </c>
      <c r="C19" s="12">
        <v>1.5</v>
      </c>
      <c r="D19" s="13" t="s">
        <v>7</v>
      </c>
      <c r="E19" s="24" t="s">
        <v>141</v>
      </c>
      <c r="F19" s="14"/>
    </row>
    <row r="20" spans="1:6" x14ac:dyDescent="0.25">
      <c r="A20" s="7">
        <v>43180</v>
      </c>
      <c r="B20" s="19">
        <f t="shared" ref="B20" si="18">WEEKNUM(A20)</f>
        <v>12</v>
      </c>
      <c r="C20" s="12">
        <v>0.5</v>
      </c>
      <c r="D20" s="13" t="s">
        <v>9</v>
      </c>
      <c r="E20" s="24" t="s">
        <v>137</v>
      </c>
      <c r="F20" s="14"/>
    </row>
    <row r="21" spans="1:6" x14ac:dyDescent="0.25">
      <c r="A21" s="7">
        <v>43180</v>
      </c>
      <c r="B21" s="19">
        <f t="shared" ref="B21" si="19">WEEKNUM(A21)</f>
        <v>12</v>
      </c>
      <c r="C21" s="12">
        <v>0.5</v>
      </c>
      <c r="D21" s="13" t="s">
        <v>7</v>
      </c>
      <c r="E21" s="24" t="s">
        <v>138</v>
      </c>
      <c r="F21" s="14" t="s">
        <v>136</v>
      </c>
    </row>
    <row r="22" spans="1:6" x14ac:dyDescent="0.25">
      <c r="A22" s="7">
        <v>43179</v>
      </c>
      <c r="B22" s="19">
        <f>WEEKNUM(A22)</f>
        <v>12</v>
      </c>
      <c r="C22" s="12">
        <v>4.4000000000000004</v>
      </c>
      <c r="D22" s="13" t="s">
        <v>10</v>
      </c>
      <c r="E22" s="24" t="s">
        <v>135</v>
      </c>
      <c r="F22" s="14"/>
    </row>
    <row r="23" spans="1:6" ht="45" x14ac:dyDescent="0.25">
      <c r="A23" s="7">
        <v>43175</v>
      </c>
      <c r="B23" s="19">
        <f t="shared" ref="B23" si="20">WEEKNUM(A23)</f>
        <v>11</v>
      </c>
      <c r="C23" s="12">
        <v>1.1000000000000001</v>
      </c>
      <c r="D23" s="13" t="s">
        <v>7</v>
      </c>
      <c r="E23" s="24" t="s">
        <v>133</v>
      </c>
      <c r="F23" s="14" t="s">
        <v>134</v>
      </c>
    </row>
    <row r="24" spans="1:6" ht="30" x14ac:dyDescent="0.25">
      <c r="A24" s="7">
        <v>43175</v>
      </c>
      <c r="B24" s="19">
        <f t="shared" ref="B24" si="21">WEEKNUM(A24)</f>
        <v>11</v>
      </c>
      <c r="C24" s="12">
        <v>0.5</v>
      </c>
      <c r="D24" s="13" t="s">
        <v>7</v>
      </c>
      <c r="E24" s="24" t="s">
        <v>132</v>
      </c>
      <c r="F24" s="14"/>
    </row>
    <row r="25" spans="1:6" ht="45" x14ac:dyDescent="0.25">
      <c r="A25" s="7">
        <v>43175</v>
      </c>
      <c r="B25" s="19">
        <f t="shared" ref="B25" si="22">WEEKNUM(A25)</f>
        <v>11</v>
      </c>
      <c r="C25" s="12">
        <v>1</v>
      </c>
      <c r="D25" s="13" t="s">
        <v>7</v>
      </c>
      <c r="E25" s="24" t="s">
        <v>130</v>
      </c>
      <c r="F25" s="14" t="s">
        <v>131</v>
      </c>
    </row>
    <row r="26" spans="1:6" ht="60" x14ac:dyDescent="0.25">
      <c r="A26" s="7">
        <v>43175</v>
      </c>
      <c r="B26" s="19">
        <f t="shared" ref="B26" si="23">WEEKNUM(A26)</f>
        <v>11</v>
      </c>
      <c r="C26" s="12">
        <v>0.5</v>
      </c>
      <c r="D26" s="13" t="s">
        <v>7</v>
      </c>
      <c r="E26" s="24" t="s">
        <v>128</v>
      </c>
      <c r="F26" s="14" t="s">
        <v>129</v>
      </c>
    </row>
    <row r="27" spans="1:6" ht="30" x14ac:dyDescent="0.25">
      <c r="A27" s="7">
        <v>43174</v>
      </c>
      <c r="B27" s="19">
        <f t="shared" ref="B27" si="24">WEEKNUM(A27)</f>
        <v>11</v>
      </c>
      <c r="C27" s="12">
        <v>1</v>
      </c>
      <c r="D27" s="13" t="s">
        <v>7</v>
      </c>
      <c r="E27" s="24" t="s">
        <v>125</v>
      </c>
      <c r="F27" s="14" t="s">
        <v>124</v>
      </c>
    </row>
    <row r="28" spans="1:6" ht="30" x14ac:dyDescent="0.25">
      <c r="A28" s="7">
        <v>43174</v>
      </c>
      <c r="B28" s="19">
        <f t="shared" ref="B28" si="25">WEEKNUM(A28)</f>
        <v>11</v>
      </c>
      <c r="C28" s="12">
        <v>0.6</v>
      </c>
      <c r="D28" s="13" t="s">
        <v>7</v>
      </c>
      <c r="E28" s="24" t="s">
        <v>126</v>
      </c>
      <c r="F28" s="14" t="s">
        <v>127</v>
      </c>
    </row>
    <row r="29" spans="1:6" ht="30" x14ac:dyDescent="0.25">
      <c r="A29" s="7">
        <v>43174</v>
      </c>
      <c r="B29" s="19">
        <f t="shared" ref="B29" si="26">WEEKNUM(A29)</f>
        <v>11</v>
      </c>
      <c r="C29" s="12">
        <v>0.5</v>
      </c>
      <c r="D29" s="13" t="s">
        <v>9</v>
      </c>
      <c r="E29" s="24" t="s">
        <v>123</v>
      </c>
      <c r="F29" s="14"/>
    </row>
    <row r="30" spans="1:6" x14ac:dyDescent="0.25">
      <c r="A30" s="7">
        <v>43174</v>
      </c>
      <c r="B30" s="19">
        <f t="shared" ref="B30" si="27">WEEKNUM(A30)</f>
        <v>11</v>
      </c>
      <c r="C30" s="12">
        <v>0.5</v>
      </c>
      <c r="D30" s="13" t="s">
        <v>9</v>
      </c>
      <c r="E30" s="24" t="s">
        <v>122</v>
      </c>
      <c r="F30" s="14"/>
    </row>
    <row r="31" spans="1:6" x14ac:dyDescent="0.25">
      <c r="A31" s="7">
        <v>43174</v>
      </c>
      <c r="B31" s="19">
        <f t="shared" ref="B31" si="28">WEEKNUM(A31)</f>
        <v>11</v>
      </c>
      <c r="C31" s="12">
        <v>0.5</v>
      </c>
      <c r="D31" s="13" t="s">
        <v>8</v>
      </c>
      <c r="E31" s="24" t="s">
        <v>121</v>
      </c>
      <c r="F31" s="14"/>
    </row>
    <row r="32" spans="1:6" x14ac:dyDescent="0.25">
      <c r="A32" s="7">
        <v>43173</v>
      </c>
      <c r="B32" s="19">
        <f t="shared" ref="B32" si="29">WEEKNUM(A32)</f>
        <v>11</v>
      </c>
      <c r="C32" s="12">
        <v>0.75</v>
      </c>
      <c r="D32" s="13" t="s">
        <v>7</v>
      </c>
      <c r="E32" s="24" t="s">
        <v>120</v>
      </c>
      <c r="F32" s="14"/>
    </row>
    <row r="33" spans="1:6" ht="60" x14ac:dyDescent="0.25">
      <c r="A33" s="7">
        <v>43173</v>
      </c>
      <c r="B33" s="19">
        <f>WEEKNUM(A33)</f>
        <v>11</v>
      </c>
      <c r="C33" s="12">
        <v>1.5</v>
      </c>
      <c r="D33" s="13" t="s">
        <v>7</v>
      </c>
      <c r="E33" s="24" t="s">
        <v>118</v>
      </c>
      <c r="F33" s="14" t="s">
        <v>119</v>
      </c>
    </row>
    <row r="34" spans="1:6" ht="30" x14ac:dyDescent="0.25">
      <c r="A34" s="7">
        <v>43172</v>
      </c>
      <c r="B34" s="19">
        <f t="shared" ref="B34" si="30">WEEKNUM(A34)</f>
        <v>11</v>
      </c>
      <c r="C34" s="12">
        <v>0.4</v>
      </c>
      <c r="D34" s="13" t="s">
        <v>8</v>
      </c>
      <c r="E34" s="24" t="s">
        <v>116</v>
      </c>
      <c r="F34" s="14" t="s">
        <v>117</v>
      </c>
    </row>
    <row r="35" spans="1:6" ht="30" x14ac:dyDescent="0.25">
      <c r="A35" s="7">
        <v>43172</v>
      </c>
      <c r="B35" s="19">
        <f t="shared" ref="B35" si="31">WEEKNUM(A35)</f>
        <v>11</v>
      </c>
      <c r="C35" s="12">
        <v>2</v>
      </c>
      <c r="D35" s="13" t="s">
        <v>7</v>
      </c>
      <c r="E35" s="24" t="s">
        <v>115</v>
      </c>
      <c r="F35" s="14"/>
    </row>
    <row r="36" spans="1:6" ht="30" x14ac:dyDescent="0.25">
      <c r="A36" s="7">
        <v>43172</v>
      </c>
      <c r="B36" s="19">
        <f t="shared" ref="B36" si="32">WEEKNUM(A36)</f>
        <v>11</v>
      </c>
      <c r="C36" s="12">
        <v>0.5</v>
      </c>
      <c r="D36" s="13" t="s">
        <v>7</v>
      </c>
      <c r="E36" s="24" t="s">
        <v>112</v>
      </c>
      <c r="F36" s="14" t="s">
        <v>114</v>
      </c>
    </row>
    <row r="37" spans="1:6" ht="45" x14ac:dyDescent="0.25">
      <c r="A37" s="7">
        <v>43172</v>
      </c>
      <c r="B37" s="19">
        <f t="shared" ref="B37" si="33">WEEKNUM(A37)</f>
        <v>11</v>
      </c>
      <c r="C37" s="12">
        <v>0.5</v>
      </c>
      <c r="D37" s="13" t="s">
        <v>7</v>
      </c>
      <c r="E37" s="24" t="s">
        <v>111</v>
      </c>
      <c r="F37" s="14"/>
    </row>
    <row r="38" spans="1:6" ht="45" x14ac:dyDescent="0.25">
      <c r="A38" s="7">
        <v>43172</v>
      </c>
      <c r="B38" s="19">
        <f t="shared" ref="B38" si="34">WEEKNUM(A38)</f>
        <v>11</v>
      </c>
      <c r="C38" s="12">
        <v>1</v>
      </c>
      <c r="D38" s="13" t="s">
        <v>7</v>
      </c>
      <c r="E38" s="24" t="s">
        <v>109</v>
      </c>
      <c r="F38" s="14" t="s">
        <v>110</v>
      </c>
    </row>
    <row r="39" spans="1:6" ht="45" x14ac:dyDescent="0.25">
      <c r="A39" s="7">
        <v>43168</v>
      </c>
      <c r="B39" s="19">
        <f t="shared" ref="B39" si="35">WEEKNUM(A39)</f>
        <v>10</v>
      </c>
      <c r="C39" s="12">
        <v>0.5</v>
      </c>
      <c r="D39" s="13" t="s">
        <v>8</v>
      </c>
      <c r="E39" s="24" t="s">
        <v>107</v>
      </c>
      <c r="F39" s="24" t="s">
        <v>108</v>
      </c>
    </row>
    <row r="40" spans="1:6" ht="45" x14ac:dyDescent="0.25">
      <c r="A40" s="7">
        <v>43168</v>
      </c>
      <c r="B40" s="19">
        <f t="shared" ref="B40" si="36">WEEKNUM(A40)</f>
        <v>10</v>
      </c>
      <c r="C40" s="12">
        <v>0.6</v>
      </c>
      <c r="D40" s="13" t="s">
        <v>9</v>
      </c>
      <c r="E40" s="24" t="s">
        <v>106</v>
      </c>
      <c r="F40" s="14"/>
    </row>
    <row r="41" spans="1:6" x14ac:dyDescent="0.25">
      <c r="A41" s="7">
        <v>43168</v>
      </c>
      <c r="B41" s="19">
        <f t="shared" ref="B41" si="37">WEEKNUM(A41)</f>
        <v>10</v>
      </c>
      <c r="C41" s="12">
        <v>0.5</v>
      </c>
      <c r="D41" s="13" t="s">
        <v>9</v>
      </c>
      <c r="E41" s="24" t="s">
        <v>104</v>
      </c>
      <c r="F41" s="14"/>
    </row>
    <row r="42" spans="1:6" ht="45" x14ac:dyDescent="0.25">
      <c r="A42" s="7">
        <v>43168</v>
      </c>
      <c r="B42" s="19">
        <f t="shared" ref="B42" si="38">WEEKNUM(A42)</f>
        <v>10</v>
      </c>
      <c r="C42" s="12">
        <v>1.5</v>
      </c>
      <c r="D42" s="13" t="s">
        <v>7</v>
      </c>
      <c r="E42" s="24" t="s">
        <v>103</v>
      </c>
      <c r="F42" s="14"/>
    </row>
    <row r="43" spans="1:6" x14ac:dyDescent="0.25">
      <c r="A43" s="7">
        <v>43167</v>
      </c>
      <c r="B43" s="19">
        <f t="shared" ref="B43" si="39">WEEKNUM(A43)</f>
        <v>10</v>
      </c>
      <c r="C43" s="12">
        <v>0.5</v>
      </c>
      <c r="D43" s="13" t="s">
        <v>7</v>
      </c>
      <c r="E43" s="24" t="s">
        <v>105</v>
      </c>
      <c r="F43" s="14"/>
    </row>
    <row r="44" spans="1:6" ht="60" x14ac:dyDescent="0.25">
      <c r="A44" s="7">
        <v>43167</v>
      </c>
      <c r="B44" s="19">
        <f t="shared" ref="B44" si="40">WEEKNUM(A44)</f>
        <v>10</v>
      </c>
      <c r="C44" s="12">
        <v>1</v>
      </c>
      <c r="D44" s="13" t="s">
        <v>7</v>
      </c>
      <c r="E44" s="24" t="s">
        <v>101</v>
      </c>
      <c r="F44" s="14" t="s">
        <v>102</v>
      </c>
    </row>
    <row r="45" spans="1:6" ht="30" x14ac:dyDescent="0.25">
      <c r="A45" s="7">
        <v>43167</v>
      </c>
      <c r="B45" s="19">
        <f t="shared" ref="B45" si="41">WEEKNUM(A45)</f>
        <v>10</v>
      </c>
      <c r="C45" s="12">
        <v>0.75</v>
      </c>
      <c r="D45" s="13" t="s">
        <v>7</v>
      </c>
      <c r="E45" s="24" t="s">
        <v>100</v>
      </c>
      <c r="F45" s="14"/>
    </row>
    <row r="46" spans="1:6" ht="45" x14ac:dyDescent="0.25">
      <c r="A46" s="7">
        <v>43167</v>
      </c>
      <c r="B46" s="19">
        <f t="shared" ref="B46" si="42">WEEKNUM(A46)</f>
        <v>10</v>
      </c>
      <c r="C46" s="12">
        <v>0.75</v>
      </c>
      <c r="D46" s="13" t="s">
        <v>7</v>
      </c>
      <c r="E46" s="24" t="s">
        <v>99</v>
      </c>
      <c r="F46" s="14"/>
    </row>
    <row r="47" spans="1:6" ht="30" x14ac:dyDescent="0.25">
      <c r="A47" s="7">
        <v>43166</v>
      </c>
      <c r="B47" s="19">
        <f t="shared" ref="B47" si="43">WEEKNUM(A47)</f>
        <v>10</v>
      </c>
      <c r="C47" s="12">
        <v>1.3</v>
      </c>
      <c r="D47" s="13" t="s">
        <v>7</v>
      </c>
      <c r="E47" s="24" t="s">
        <v>98</v>
      </c>
      <c r="F47" s="14"/>
    </row>
    <row r="48" spans="1:6" ht="30" x14ac:dyDescent="0.25">
      <c r="A48" s="7">
        <v>43166</v>
      </c>
      <c r="B48" s="19">
        <f t="shared" ref="B48" si="44">WEEKNUM(A48)</f>
        <v>10</v>
      </c>
      <c r="C48" s="12">
        <v>0.2</v>
      </c>
      <c r="D48" s="13" t="s">
        <v>7</v>
      </c>
      <c r="E48" s="24" t="s">
        <v>96</v>
      </c>
      <c r="F48" s="14" t="s">
        <v>97</v>
      </c>
    </row>
    <row r="49" spans="1:6" ht="45" x14ac:dyDescent="0.25">
      <c r="A49" s="7">
        <v>43166</v>
      </c>
      <c r="B49" s="19">
        <f t="shared" ref="B49" si="45">WEEKNUM(A49)</f>
        <v>10</v>
      </c>
      <c r="C49" s="12">
        <v>0.75</v>
      </c>
      <c r="D49" s="13" t="s">
        <v>9</v>
      </c>
      <c r="E49" s="24" t="s">
        <v>95</v>
      </c>
      <c r="F49" s="14"/>
    </row>
    <row r="50" spans="1:6" ht="30" x14ac:dyDescent="0.25">
      <c r="A50" s="7">
        <v>43165</v>
      </c>
      <c r="B50" s="19">
        <f t="shared" ref="B50" si="46">WEEKNUM(A50)</f>
        <v>10</v>
      </c>
      <c r="C50" s="12">
        <v>1</v>
      </c>
      <c r="D50" s="13" t="s">
        <v>7</v>
      </c>
      <c r="E50" s="24" t="s">
        <v>93</v>
      </c>
      <c r="F50" s="14" t="s">
        <v>94</v>
      </c>
    </row>
    <row r="51" spans="1:6" ht="45" x14ac:dyDescent="0.25">
      <c r="A51" s="7">
        <v>43165</v>
      </c>
      <c r="B51" s="19">
        <f t="shared" ref="B51" si="47">WEEKNUM(A51)</f>
        <v>10</v>
      </c>
      <c r="C51" s="12">
        <v>0.75</v>
      </c>
      <c r="D51" s="13" t="s">
        <v>9</v>
      </c>
      <c r="E51" s="24" t="s">
        <v>91</v>
      </c>
      <c r="F51" s="14" t="s">
        <v>92</v>
      </c>
    </row>
    <row r="52" spans="1:6" x14ac:dyDescent="0.25">
      <c r="A52" s="7">
        <v>43165</v>
      </c>
      <c r="B52" s="19">
        <f t="shared" ref="B52" si="48">WEEKNUM(A52)</f>
        <v>10</v>
      </c>
      <c r="C52" s="12">
        <v>0.5</v>
      </c>
      <c r="D52" s="13" t="s">
        <v>7</v>
      </c>
      <c r="E52" s="24" t="s">
        <v>89</v>
      </c>
      <c r="F52" s="14" t="s">
        <v>90</v>
      </c>
    </row>
    <row r="53" spans="1:6" x14ac:dyDescent="0.25">
      <c r="A53" s="7">
        <v>43165</v>
      </c>
      <c r="B53" s="19">
        <f t="shared" ref="B53" si="49">WEEKNUM(A53)</f>
        <v>10</v>
      </c>
      <c r="C53" s="12">
        <v>0.5</v>
      </c>
      <c r="D53" s="13" t="s">
        <v>7</v>
      </c>
      <c r="E53" s="24" t="s">
        <v>88</v>
      </c>
      <c r="F53" s="14"/>
    </row>
    <row r="54" spans="1:6" ht="45" x14ac:dyDescent="0.25">
      <c r="A54" s="7">
        <v>43165</v>
      </c>
      <c r="B54" s="19">
        <f t="shared" ref="B54" si="50">WEEKNUM(A54)</f>
        <v>10</v>
      </c>
      <c r="C54" s="12">
        <v>1</v>
      </c>
      <c r="D54" s="13" t="s">
        <v>7</v>
      </c>
      <c r="E54" s="24" t="s">
        <v>85</v>
      </c>
      <c r="F54" s="14" t="s">
        <v>86</v>
      </c>
    </row>
    <row r="55" spans="1:6" x14ac:dyDescent="0.25">
      <c r="A55" s="7">
        <v>43165</v>
      </c>
      <c r="B55" s="19">
        <f t="shared" ref="B55" si="51">WEEKNUM(A55)</f>
        <v>10</v>
      </c>
      <c r="C55" s="12">
        <v>0.75</v>
      </c>
      <c r="D55" s="13" t="s">
        <v>7</v>
      </c>
      <c r="E55" s="24" t="s">
        <v>87</v>
      </c>
      <c r="F55" s="14"/>
    </row>
    <row r="56" spans="1:6" ht="45" x14ac:dyDescent="0.25">
      <c r="A56" s="7">
        <v>43161</v>
      </c>
      <c r="B56" s="19">
        <f t="shared" ref="B56" si="52">WEEKNUM(A56)</f>
        <v>9</v>
      </c>
      <c r="C56" s="12">
        <v>0.2</v>
      </c>
      <c r="D56" s="13" t="s">
        <v>7</v>
      </c>
      <c r="E56" s="24" t="s">
        <v>82</v>
      </c>
      <c r="F56" s="14" t="s">
        <v>83</v>
      </c>
    </row>
    <row r="57" spans="1:6" ht="30" x14ac:dyDescent="0.25">
      <c r="A57" s="7">
        <v>43161</v>
      </c>
      <c r="B57" s="19">
        <f t="shared" ref="B57:B109" si="53">WEEKNUM(A57)</f>
        <v>9</v>
      </c>
      <c r="C57" s="12">
        <v>0.5</v>
      </c>
      <c r="D57" s="13" t="s">
        <v>7</v>
      </c>
      <c r="E57" s="24" t="s">
        <v>80</v>
      </c>
      <c r="F57" s="14" t="s">
        <v>81</v>
      </c>
    </row>
    <row r="58" spans="1:6" ht="60" x14ac:dyDescent="0.25">
      <c r="A58" s="7">
        <v>43161</v>
      </c>
      <c r="B58" s="19">
        <f t="shared" si="53"/>
        <v>9</v>
      </c>
      <c r="C58" s="12">
        <v>1</v>
      </c>
      <c r="D58" s="13" t="s">
        <v>9</v>
      </c>
      <c r="E58" s="24" t="s">
        <v>79</v>
      </c>
      <c r="F58" s="14" t="s">
        <v>84</v>
      </c>
    </row>
    <row r="59" spans="1:6" x14ac:dyDescent="0.25">
      <c r="A59" s="7">
        <v>43161</v>
      </c>
      <c r="B59" s="19">
        <f t="shared" si="53"/>
        <v>9</v>
      </c>
      <c r="C59" s="12">
        <v>0.3</v>
      </c>
      <c r="D59" s="13" t="s">
        <v>9</v>
      </c>
      <c r="E59" s="24" t="s">
        <v>78</v>
      </c>
      <c r="F59" s="14"/>
    </row>
    <row r="60" spans="1:6" x14ac:dyDescent="0.25">
      <c r="A60" s="7">
        <v>43161</v>
      </c>
      <c r="B60" s="19">
        <f t="shared" si="53"/>
        <v>9</v>
      </c>
      <c r="C60" s="12">
        <v>1</v>
      </c>
      <c r="D60" s="13" t="s">
        <v>9</v>
      </c>
      <c r="E60" s="24" t="s">
        <v>77</v>
      </c>
      <c r="F60" s="14"/>
    </row>
    <row r="61" spans="1:6" x14ac:dyDescent="0.25">
      <c r="A61" s="7">
        <v>43160</v>
      </c>
      <c r="B61" s="19">
        <f t="shared" si="53"/>
        <v>9</v>
      </c>
      <c r="C61" s="12">
        <v>3.15</v>
      </c>
      <c r="D61" s="13" t="s">
        <v>9</v>
      </c>
      <c r="E61" s="24" t="s">
        <v>76</v>
      </c>
      <c r="F61" s="14"/>
    </row>
    <row r="62" spans="1:6" x14ac:dyDescent="0.25">
      <c r="A62" s="7">
        <v>43159</v>
      </c>
      <c r="B62" s="19">
        <f t="shared" si="53"/>
        <v>9</v>
      </c>
      <c r="C62" s="12">
        <v>1.65</v>
      </c>
      <c r="D62" s="13" t="s">
        <v>7</v>
      </c>
      <c r="E62" s="24" t="s">
        <v>75</v>
      </c>
      <c r="F62" s="14"/>
    </row>
    <row r="63" spans="1:6" x14ac:dyDescent="0.25">
      <c r="A63" s="7">
        <v>43158</v>
      </c>
      <c r="B63" s="19">
        <f t="shared" si="53"/>
        <v>9</v>
      </c>
      <c r="C63" s="12">
        <v>0.75</v>
      </c>
      <c r="D63" s="13" t="s">
        <v>9</v>
      </c>
      <c r="E63" s="24" t="s">
        <v>74</v>
      </c>
      <c r="F63" s="14"/>
    </row>
    <row r="64" spans="1:6" x14ac:dyDescent="0.25">
      <c r="A64" s="7">
        <v>43158</v>
      </c>
      <c r="B64" s="19">
        <f t="shared" si="53"/>
        <v>9</v>
      </c>
      <c r="C64" s="12">
        <v>0.5</v>
      </c>
      <c r="D64" s="13" t="s">
        <v>9</v>
      </c>
      <c r="E64" s="24" t="s">
        <v>73</v>
      </c>
      <c r="F64" s="14"/>
    </row>
    <row r="65" spans="1:6" x14ac:dyDescent="0.25">
      <c r="A65" s="7">
        <v>43158</v>
      </c>
      <c r="B65" s="19">
        <f t="shared" si="53"/>
        <v>9</v>
      </c>
      <c r="C65" s="12">
        <v>1</v>
      </c>
      <c r="D65" s="13" t="s">
        <v>9</v>
      </c>
      <c r="E65" s="24" t="s">
        <v>72</v>
      </c>
      <c r="F65" s="14"/>
    </row>
    <row r="66" spans="1:6" ht="30" x14ac:dyDescent="0.25">
      <c r="A66" s="7">
        <v>43158</v>
      </c>
      <c r="B66" s="19">
        <f t="shared" si="53"/>
        <v>9</v>
      </c>
      <c r="C66" s="12">
        <v>0.1</v>
      </c>
      <c r="D66" s="13" t="s">
        <v>7</v>
      </c>
      <c r="E66" s="24" t="s">
        <v>71</v>
      </c>
      <c r="F66" s="14"/>
    </row>
    <row r="67" spans="1:6" x14ac:dyDescent="0.25">
      <c r="A67" s="7">
        <v>43158</v>
      </c>
      <c r="B67" s="19">
        <f t="shared" si="53"/>
        <v>9</v>
      </c>
      <c r="C67" s="12">
        <v>0.35</v>
      </c>
      <c r="D67" s="13" t="s">
        <v>6</v>
      </c>
      <c r="E67" s="24" t="s">
        <v>70</v>
      </c>
      <c r="F67" s="14"/>
    </row>
    <row r="68" spans="1:6" ht="30" x14ac:dyDescent="0.25">
      <c r="A68" s="7">
        <v>43158</v>
      </c>
      <c r="B68" s="19">
        <f t="shared" si="53"/>
        <v>9</v>
      </c>
      <c r="C68" s="12">
        <v>0.5</v>
      </c>
      <c r="D68" s="13" t="s">
        <v>6</v>
      </c>
      <c r="E68" s="24" t="s">
        <v>69</v>
      </c>
      <c r="F68" s="14"/>
    </row>
    <row r="69" spans="1:6" x14ac:dyDescent="0.25">
      <c r="A69" s="7">
        <v>43158</v>
      </c>
      <c r="B69" s="19">
        <f t="shared" si="53"/>
        <v>9</v>
      </c>
      <c r="C69" s="12">
        <v>0.65</v>
      </c>
      <c r="D69" s="13" t="s">
        <v>9</v>
      </c>
      <c r="E69" s="24" t="s">
        <v>68</v>
      </c>
      <c r="F69" s="14"/>
    </row>
    <row r="70" spans="1:6" x14ac:dyDescent="0.25">
      <c r="A70" s="7">
        <v>43158</v>
      </c>
      <c r="B70" s="19">
        <f t="shared" si="53"/>
        <v>9</v>
      </c>
      <c r="C70" s="12">
        <v>0.35</v>
      </c>
      <c r="D70" s="13" t="s">
        <v>6</v>
      </c>
      <c r="E70" s="24" t="s">
        <v>67</v>
      </c>
      <c r="F70" s="14"/>
    </row>
    <row r="71" spans="1:6" ht="30" x14ac:dyDescent="0.25">
      <c r="A71" s="7">
        <v>43158</v>
      </c>
      <c r="B71" s="19">
        <f t="shared" si="53"/>
        <v>9</v>
      </c>
      <c r="C71" s="12">
        <v>1</v>
      </c>
      <c r="D71" s="13" t="s">
        <v>9</v>
      </c>
      <c r="E71" s="24" t="s">
        <v>66</v>
      </c>
      <c r="F71" s="14"/>
    </row>
    <row r="72" spans="1:6" ht="45" x14ac:dyDescent="0.25">
      <c r="A72" s="7">
        <v>43147</v>
      </c>
      <c r="B72" s="19">
        <f t="shared" si="53"/>
        <v>7</v>
      </c>
      <c r="C72" s="12">
        <v>1.3</v>
      </c>
      <c r="D72" s="13" t="s">
        <v>9</v>
      </c>
      <c r="E72" s="24" t="s">
        <v>65</v>
      </c>
      <c r="F72" s="14"/>
    </row>
    <row r="73" spans="1:6" ht="30" x14ac:dyDescent="0.25">
      <c r="A73" s="7">
        <v>43147</v>
      </c>
      <c r="B73" s="19">
        <f t="shared" si="53"/>
        <v>7</v>
      </c>
      <c r="C73" s="12">
        <v>0.5</v>
      </c>
      <c r="D73" s="13" t="s">
        <v>7</v>
      </c>
      <c r="E73" s="24" t="s">
        <v>64</v>
      </c>
      <c r="F73" s="14"/>
    </row>
    <row r="74" spans="1:6" x14ac:dyDescent="0.25">
      <c r="A74" s="7">
        <v>43147</v>
      </c>
      <c r="B74" s="19">
        <f t="shared" si="53"/>
        <v>7</v>
      </c>
      <c r="C74" s="12">
        <v>0.5</v>
      </c>
      <c r="D74" s="13" t="s">
        <v>6</v>
      </c>
      <c r="E74" s="24" t="s">
        <v>63</v>
      </c>
      <c r="F74" s="14"/>
    </row>
    <row r="75" spans="1:6" ht="30" x14ac:dyDescent="0.25">
      <c r="A75" s="7">
        <v>43147</v>
      </c>
      <c r="B75" s="19">
        <f t="shared" si="53"/>
        <v>7</v>
      </c>
      <c r="C75" s="12">
        <v>0.5</v>
      </c>
      <c r="D75" s="13" t="s">
        <v>8</v>
      </c>
      <c r="E75" s="24" t="s">
        <v>61</v>
      </c>
      <c r="F75" s="25" t="s">
        <v>62</v>
      </c>
    </row>
    <row r="76" spans="1:6" ht="30" x14ac:dyDescent="0.25">
      <c r="A76" s="7">
        <v>43146</v>
      </c>
      <c r="B76" s="19">
        <f t="shared" si="53"/>
        <v>7</v>
      </c>
      <c r="C76" s="12">
        <v>0.7</v>
      </c>
      <c r="D76" s="13" t="s">
        <v>9</v>
      </c>
      <c r="E76" s="24" t="s">
        <v>60</v>
      </c>
      <c r="F76" s="14"/>
    </row>
    <row r="77" spans="1:6" x14ac:dyDescent="0.25">
      <c r="A77" s="7">
        <v>43146</v>
      </c>
      <c r="B77" s="19">
        <f t="shared" si="53"/>
        <v>7</v>
      </c>
      <c r="C77" s="12">
        <v>1.3</v>
      </c>
      <c r="D77" s="13" t="s">
        <v>6</v>
      </c>
      <c r="E77" s="24" t="s">
        <v>59</v>
      </c>
      <c r="F77" s="14"/>
    </row>
    <row r="78" spans="1:6" ht="30" x14ac:dyDescent="0.25">
      <c r="A78" s="7">
        <v>43146</v>
      </c>
      <c r="B78" s="19">
        <f t="shared" si="53"/>
        <v>7</v>
      </c>
      <c r="C78" s="12">
        <v>1</v>
      </c>
      <c r="D78" s="13" t="s">
        <v>6</v>
      </c>
      <c r="E78" s="24" t="s">
        <v>58</v>
      </c>
      <c r="F78" s="14"/>
    </row>
    <row r="79" spans="1:6" x14ac:dyDescent="0.25">
      <c r="A79" s="7">
        <v>43145</v>
      </c>
      <c r="B79" s="19">
        <f t="shared" si="53"/>
        <v>7</v>
      </c>
      <c r="C79" s="12">
        <v>1.5</v>
      </c>
      <c r="D79" s="13" t="s">
        <v>6</v>
      </c>
      <c r="E79" s="24" t="s">
        <v>57</v>
      </c>
      <c r="F79" s="14"/>
    </row>
    <row r="80" spans="1:6" ht="30" x14ac:dyDescent="0.25">
      <c r="A80" s="7">
        <v>43145</v>
      </c>
      <c r="B80" s="19">
        <f t="shared" si="53"/>
        <v>7</v>
      </c>
      <c r="C80" s="12">
        <v>0.75</v>
      </c>
      <c r="D80" s="13" t="s">
        <v>6</v>
      </c>
      <c r="E80" s="24" t="s">
        <v>55</v>
      </c>
      <c r="F80" s="25" t="s">
        <v>56</v>
      </c>
    </row>
    <row r="81" spans="1:6" x14ac:dyDescent="0.25">
      <c r="A81" s="7">
        <v>43144</v>
      </c>
      <c r="B81" s="19">
        <f t="shared" si="53"/>
        <v>7</v>
      </c>
      <c r="C81" s="12">
        <v>1.1000000000000001</v>
      </c>
      <c r="D81" s="13" t="s">
        <v>6</v>
      </c>
      <c r="E81" s="24" t="s">
        <v>54</v>
      </c>
      <c r="F81" s="14"/>
    </row>
    <row r="82" spans="1:6" ht="60" x14ac:dyDescent="0.25">
      <c r="A82" s="7">
        <v>43144</v>
      </c>
      <c r="B82" s="19">
        <f t="shared" si="53"/>
        <v>7</v>
      </c>
      <c r="C82" s="12">
        <v>2</v>
      </c>
      <c r="D82" s="13" t="s">
        <v>7</v>
      </c>
      <c r="E82" s="24" t="s">
        <v>52</v>
      </c>
      <c r="F82" s="25" t="s">
        <v>53</v>
      </c>
    </row>
    <row r="83" spans="1:6" x14ac:dyDescent="0.25">
      <c r="A83" s="7">
        <v>43144</v>
      </c>
      <c r="B83" s="19">
        <f t="shared" si="53"/>
        <v>7</v>
      </c>
      <c r="C83" s="12">
        <v>1.05</v>
      </c>
      <c r="D83" s="13" t="s">
        <v>9</v>
      </c>
      <c r="E83" s="24" t="s">
        <v>51</v>
      </c>
      <c r="F83" s="14"/>
    </row>
    <row r="84" spans="1:6" x14ac:dyDescent="0.25">
      <c r="A84" s="7">
        <v>43140</v>
      </c>
      <c r="B84" s="19">
        <f t="shared" si="53"/>
        <v>6</v>
      </c>
      <c r="C84" s="12">
        <v>1</v>
      </c>
      <c r="D84" s="13" t="s">
        <v>6</v>
      </c>
      <c r="E84" s="24" t="s">
        <v>50</v>
      </c>
      <c r="F84" s="14"/>
    </row>
    <row r="85" spans="1:6" x14ac:dyDescent="0.25">
      <c r="A85" s="7">
        <v>43140</v>
      </c>
      <c r="B85" s="19">
        <f t="shared" si="53"/>
        <v>6</v>
      </c>
      <c r="C85" s="12">
        <v>0.5</v>
      </c>
      <c r="D85" s="13" t="s">
        <v>9</v>
      </c>
      <c r="E85" s="24" t="s">
        <v>49</v>
      </c>
      <c r="F85" s="14"/>
    </row>
    <row r="86" spans="1:6" x14ac:dyDescent="0.25">
      <c r="A86" s="7">
        <v>43140</v>
      </c>
      <c r="B86" s="19">
        <f t="shared" si="53"/>
        <v>6</v>
      </c>
      <c r="C86" s="12">
        <v>1</v>
      </c>
      <c r="D86" s="13" t="s">
        <v>6</v>
      </c>
      <c r="E86" s="24" t="s">
        <v>48</v>
      </c>
      <c r="F86" s="14"/>
    </row>
    <row r="87" spans="1:6" x14ac:dyDescent="0.25">
      <c r="A87" s="7">
        <v>43140</v>
      </c>
      <c r="B87" s="19">
        <f t="shared" si="53"/>
        <v>6</v>
      </c>
      <c r="C87" s="12">
        <v>0.5</v>
      </c>
      <c r="D87" s="13" t="s">
        <v>7</v>
      </c>
      <c r="E87" s="24" t="s">
        <v>45</v>
      </c>
      <c r="F87" s="25" t="s">
        <v>47</v>
      </c>
    </row>
    <row r="88" spans="1:6" ht="45" x14ac:dyDescent="0.25">
      <c r="A88" s="7">
        <v>43139</v>
      </c>
      <c r="B88" s="19">
        <f t="shared" si="53"/>
        <v>6</v>
      </c>
      <c r="C88" s="12">
        <v>0.5</v>
      </c>
      <c r="D88" s="13" t="s">
        <v>7</v>
      </c>
      <c r="E88" s="24" t="s">
        <v>45</v>
      </c>
      <c r="F88" s="25" t="s">
        <v>46</v>
      </c>
    </row>
    <row r="89" spans="1:6" ht="45" x14ac:dyDescent="0.25">
      <c r="A89" s="7">
        <v>43139</v>
      </c>
      <c r="B89" s="19">
        <f t="shared" si="53"/>
        <v>6</v>
      </c>
      <c r="C89" s="12">
        <v>2</v>
      </c>
      <c r="D89" s="13" t="s">
        <v>6</v>
      </c>
      <c r="E89" s="24" t="s">
        <v>44</v>
      </c>
      <c r="F89" s="25" t="s">
        <v>113</v>
      </c>
    </row>
    <row r="90" spans="1:6" ht="30" x14ac:dyDescent="0.25">
      <c r="A90" s="7">
        <v>43139</v>
      </c>
      <c r="B90" s="19">
        <f t="shared" si="53"/>
        <v>6</v>
      </c>
      <c r="C90" s="12">
        <v>0.5</v>
      </c>
      <c r="D90" s="13" t="s">
        <v>6</v>
      </c>
      <c r="E90" s="24" t="s">
        <v>43</v>
      </c>
      <c r="F90" s="14"/>
    </row>
    <row r="91" spans="1:6" ht="30" x14ac:dyDescent="0.25">
      <c r="A91" s="7">
        <v>43138</v>
      </c>
      <c r="B91" s="19">
        <f t="shared" si="53"/>
        <v>6</v>
      </c>
      <c r="C91" s="12">
        <v>0.5</v>
      </c>
      <c r="D91" s="13" t="s">
        <v>6</v>
      </c>
      <c r="E91" s="24" t="s">
        <v>42</v>
      </c>
      <c r="F91" s="14"/>
    </row>
    <row r="92" spans="1:6" ht="30" x14ac:dyDescent="0.25">
      <c r="A92" s="7">
        <v>43138</v>
      </c>
      <c r="B92" s="19">
        <f t="shared" si="53"/>
        <v>6</v>
      </c>
      <c r="C92" s="12">
        <v>0.5</v>
      </c>
      <c r="D92" s="13" t="s">
        <v>8</v>
      </c>
      <c r="E92" s="24" t="s">
        <v>41</v>
      </c>
      <c r="F92" s="14"/>
    </row>
    <row r="93" spans="1:6" ht="30" x14ac:dyDescent="0.25">
      <c r="A93" s="7">
        <v>43138</v>
      </c>
      <c r="B93" s="19">
        <f t="shared" si="53"/>
        <v>6</v>
      </c>
      <c r="C93" s="12">
        <v>1</v>
      </c>
      <c r="D93" s="13" t="s">
        <v>8</v>
      </c>
      <c r="E93" s="24" t="s">
        <v>40</v>
      </c>
      <c r="F93" s="14"/>
    </row>
    <row r="94" spans="1:6" x14ac:dyDescent="0.25">
      <c r="A94" s="7">
        <v>43138</v>
      </c>
      <c r="B94" s="19">
        <f t="shared" si="53"/>
        <v>6</v>
      </c>
      <c r="C94" s="12">
        <v>0.5</v>
      </c>
      <c r="D94" s="13" t="s">
        <v>9</v>
      </c>
      <c r="E94" s="24" t="s">
        <v>39</v>
      </c>
      <c r="F94" s="14"/>
    </row>
    <row r="95" spans="1:6" ht="30" x14ac:dyDescent="0.25">
      <c r="A95" s="7">
        <v>43137</v>
      </c>
      <c r="B95" s="19">
        <f t="shared" si="53"/>
        <v>6</v>
      </c>
      <c r="C95" s="12">
        <v>1</v>
      </c>
      <c r="D95" s="13" t="s">
        <v>6</v>
      </c>
      <c r="E95" s="24" t="s">
        <v>36</v>
      </c>
      <c r="F95" s="14"/>
    </row>
    <row r="96" spans="1:6" x14ac:dyDescent="0.25">
      <c r="A96" s="7">
        <v>43137</v>
      </c>
      <c r="B96" s="19">
        <f t="shared" si="53"/>
        <v>6</v>
      </c>
      <c r="C96" s="12">
        <v>0.5</v>
      </c>
      <c r="D96" s="13" t="s">
        <v>9</v>
      </c>
      <c r="E96" s="24" t="s">
        <v>35</v>
      </c>
      <c r="F96" s="14"/>
    </row>
    <row r="97" spans="1:11" x14ac:dyDescent="0.25">
      <c r="A97" s="7">
        <v>43137</v>
      </c>
      <c r="B97" s="19">
        <f t="shared" si="53"/>
        <v>6</v>
      </c>
      <c r="C97" s="12">
        <v>0.5</v>
      </c>
      <c r="D97" s="13" t="s">
        <v>7</v>
      </c>
      <c r="E97" s="24" t="s">
        <v>37</v>
      </c>
      <c r="F97" s="14"/>
    </row>
    <row r="98" spans="1:11" x14ac:dyDescent="0.25">
      <c r="A98" s="7">
        <v>43137</v>
      </c>
      <c r="B98" s="19">
        <f t="shared" si="53"/>
        <v>6</v>
      </c>
      <c r="C98" s="12">
        <v>0.75</v>
      </c>
      <c r="D98" s="13" t="s">
        <v>6</v>
      </c>
      <c r="E98" s="24" t="s">
        <v>38</v>
      </c>
      <c r="F98" s="14"/>
    </row>
    <row r="99" spans="1:11" x14ac:dyDescent="0.25">
      <c r="A99" s="7">
        <v>43137</v>
      </c>
      <c r="B99" s="19">
        <f t="shared" si="53"/>
        <v>6</v>
      </c>
      <c r="C99" s="12">
        <v>1</v>
      </c>
      <c r="D99" s="13" t="s">
        <v>7</v>
      </c>
      <c r="E99" s="24" t="s">
        <v>34</v>
      </c>
      <c r="F99" s="14"/>
    </row>
    <row r="100" spans="1:11" ht="15.75" x14ac:dyDescent="0.25">
      <c r="A100" s="7">
        <v>43137</v>
      </c>
      <c r="B100" s="19">
        <f t="shared" si="53"/>
        <v>6</v>
      </c>
      <c r="C100" s="12">
        <v>1</v>
      </c>
      <c r="D100" s="13" t="s">
        <v>6</v>
      </c>
      <c r="E100" s="24" t="s">
        <v>33</v>
      </c>
      <c r="F100" s="14"/>
      <c r="I100" s="28" t="s">
        <v>27</v>
      </c>
      <c r="J100" s="29"/>
      <c r="K100" s="29"/>
    </row>
    <row r="101" spans="1:11" ht="30" x14ac:dyDescent="0.25">
      <c r="A101" s="7">
        <v>43133</v>
      </c>
      <c r="B101" s="19">
        <f t="shared" si="53"/>
        <v>5</v>
      </c>
      <c r="C101" s="12">
        <v>1</v>
      </c>
      <c r="D101" s="13" t="s">
        <v>6</v>
      </c>
      <c r="E101" s="14" t="s">
        <v>25</v>
      </c>
      <c r="F101" s="14" t="s">
        <v>26</v>
      </c>
      <c r="I101" s="30" t="s">
        <v>28</v>
      </c>
      <c r="J101" s="31"/>
      <c r="K101" s="21">
        <v>0</v>
      </c>
    </row>
    <row r="102" spans="1:11" ht="30" x14ac:dyDescent="0.25">
      <c r="A102" s="7">
        <v>43133</v>
      </c>
      <c r="B102" s="19">
        <f t="shared" si="53"/>
        <v>5</v>
      </c>
      <c r="C102" s="12">
        <v>0.5</v>
      </c>
      <c r="D102" s="13" t="s">
        <v>6</v>
      </c>
      <c r="E102" s="14" t="s">
        <v>23</v>
      </c>
      <c r="F102" s="14" t="s">
        <v>24</v>
      </c>
      <c r="I102" s="32" t="s">
        <v>29</v>
      </c>
      <c r="J102" s="33"/>
      <c r="K102" s="22">
        <v>0.19444444444444445</v>
      </c>
    </row>
    <row r="103" spans="1:11" x14ac:dyDescent="0.25">
      <c r="A103" s="7">
        <v>43133</v>
      </c>
      <c r="B103" s="19">
        <f t="shared" si="53"/>
        <v>5</v>
      </c>
      <c r="C103" s="12">
        <v>1</v>
      </c>
      <c r="D103" s="13" t="s">
        <v>6</v>
      </c>
      <c r="E103" s="14" t="s">
        <v>21</v>
      </c>
      <c r="F103" s="14"/>
      <c r="I103" s="32" t="s">
        <v>30</v>
      </c>
      <c r="J103" s="33"/>
      <c r="K103" s="22">
        <v>0.10069444444444443</v>
      </c>
    </row>
    <row r="104" spans="1:11" ht="30" x14ac:dyDescent="0.25">
      <c r="A104" s="7">
        <v>43133</v>
      </c>
      <c r="B104" s="19">
        <f t="shared" si="53"/>
        <v>5</v>
      </c>
      <c r="C104" s="12">
        <v>0.5</v>
      </c>
      <c r="D104" s="13" t="s">
        <v>6</v>
      </c>
      <c r="E104" s="14" t="s">
        <v>20</v>
      </c>
      <c r="F104" s="14" t="s">
        <v>22</v>
      </c>
      <c r="I104" s="32" t="s">
        <v>31</v>
      </c>
      <c r="J104" s="33"/>
      <c r="K104" s="22">
        <v>0.13194444444444445</v>
      </c>
    </row>
    <row r="105" spans="1:11" ht="15.75" thickBot="1" x14ac:dyDescent="0.3">
      <c r="A105" s="7">
        <v>43133</v>
      </c>
      <c r="B105" s="19">
        <f t="shared" si="53"/>
        <v>5</v>
      </c>
      <c r="C105" s="12">
        <v>0.5</v>
      </c>
      <c r="D105" s="13" t="s">
        <v>6</v>
      </c>
      <c r="E105" s="14" t="s">
        <v>19</v>
      </c>
      <c r="F105" s="14"/>
      <c r="I105" s="26" t="s">
        <v>32</v>
      </c>
      <c r="J105" s="27"/>
      <c r="K105" s="23">
        <v>0.13194444444444445</v>
      </c>
    </row>
    <row r="106" spans="1:11" x14ac:dyDescent="0.25">
      <c r="A106" s="7">
        <v>43132</v>
      </c>
      <c r="B106" s="19">
        <f t="shared" si="53"/>
        <v>5</v>
      </c>
      <c r="C106" s="12">
        <v>1</v>
      </c>
      <c r="D106" s="13" t="s">
        <v>6</v>
      </c>
      <c r="E106" s="14" t="s">
        <v>17</v>
      </c>
      <c r="F106" s="14" t="s">
        <v>18</v>
      </c>
      <c r="I106" s="15"/>
    </row>
    <row r="107" spans="1:11" x14ac:dyDescent="0.25">
      <c r="A107" s="7">
        <v>43132</v>
      </c>
      <c r="B107" s="19">
        <f t="shared" si="53"/>
        <v>5</v>
      </c>
      <c r="C107" s="12">
        <v>0.5</v>
      </c>
      <c r="D107" s="13" t="s">
        <v>7</v>
      </c>
      <c r="E107" s="14" t="s">
        <v>16</v>
      </c>
      <c r="F107" s="14"/>
      <c r="I107" s="15"/>
    </row>
    <row r="108" spans="1:11" x14ac:dyDescent="0.25">
      <c r="A108" s="7">
        <v>43132</v>
      </c>
      <c r="B108" s="19">
        <f t="shared" si="53"/>
        <v>5</v>
      </c>
      <c r="C108" s="12">
        <v>0.5</v>
      </c>
      <c r="D108" s="13" t="s">
        <v>7</v>
      </c>
      <c r="E108" s="14" t="s">
        <v>15</v>
      </c>
      <c r="F108" s="14"/>
      <c r="I108" s="15"/>
    </row>
    <row r="109" spans="1:11" x14ac:dyDescent="0.25">
      <c r="A109" s="7">
        <v>43132</v>
      </c>
      <c r="B109" s="19">
        <f t="shared" si="53"/>
        <v>5</v>
      </c>
      <c r="C109" s="12">
        <v>1</v>
      </c>
      <c r="D109" s="13" t="s">
        <v>6</v>
      </c>
      <c r="E109" s="14" t="s">
        <v>14</v>
      </c>
      <c r="F109" s="14"/>
      <c r="I109" s="15"/>
    </row>
  </sheetData>
  <sheetProtection selectLockedCells="1"/>
  <mergeCells count="6">
    <mergeCell ref="I105:J105"/>
    <mergeCell ref="I100:K100"/>
    <mergeCell ref="I101:J101"/>
    <mergeCell ref="I102:J102"/>
    <mergeCell ref="I103:J103"/>
    <mergeCell ref="I104:J104"/>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D2:D109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2018-04-17T11:52:48Z</dcterms:modified>
</cp:coreProperties>
</file>